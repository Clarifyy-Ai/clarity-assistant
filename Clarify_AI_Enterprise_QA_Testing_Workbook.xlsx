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Read Me" sheetId="1" state="visible" r:id="rId1"/>
    <sheet xmlns:r="http://schemas.openxmlformats.org/officeDocument/2006/relationships" name="01 Dashboard" sheetId="2" state="visible" r:id="rId2"/>
    <sheet xmlns:r="http://schemas.openxmlformats.org/officeDocument/2006/relationships" name="02 Module Master" sheetId="3" state="visible" r:id="rId3"/>
    <sheet xmlns:r="http://schemas.openxmlformats.org/officeDocument/2006/relationships" name="03 Feature Inventory" sheetId="4" state="visible" r:id="rId4"/>
    <sheet xmlns:r="http://schemas.openxmlformats.org/officeDocument/2006/relationships" name="04 Test Case Repository" sheetId="5" state="visible" r:id="rId5"/>
    <sheet xmlns:r="http://schemas.openxmlformats.org/officeDocument/2006/relationships" name="05 E2E User Flows" sheetId="6" state="visible" r:id="rId6"/>
    <sheet xmlns:r="http://schemas.openxmlformats.org/officeDocument/2006/relationships" name="06 Bug Tracker" sheetId="7" state="visible" r:id="rId7"/>
    <sheet xmlns:r="http://schemas.openxmlformats.org/officeDocument/2006/relationships" name="07 UI-UX Testing" sheetId="8" state="visible" r:id="rId8"/>
    <sheet xmlns:r="http://schemas.openxmlformats.org/officeDocument/2006/relationships" name="08 Mobile Responsiveness" sheetId="9" state="visible" r:id="rId9"/>
    <sheet xmlns:r="http://schemas.openxmlformats.org/officeDocument/2006/relationships" name="09 API Testing" sheetId="10" state="visible" r:id="rId10"/>
    <sheet xmlns:r="http://schemas.openxmlformats.org/officeDocument/2006/relationships" name="10 Database Validation" sheetId="11" state="visible" r:id="rId11"/>
    <sheet xmlns:r="http://schemas.openxmlformats.org/officeDocument/2006/relationships" name="11 Authentication Testing" sheetId="12" state="visible" r:id="rId12"/>
    <sheet xmlns:r="http://schemas.openxmlformats.org/officeDocument/2006/relationships" name="12 Security Testing" sheetId="13" state="visible" r:id="rId13"/>
    <sheet xmlns:r="http://schemas.openxmlformats.org/officeDocument/2006/relationships" name="13 Performance Testing" sheetId="14" state="visible" r:id="rId14"/>
    <sheet xmlns:r="http://schemas.openxmlformats.org/officeDocument/2006/relationships" name="14 Live Coaching Testing" sheetId="15" state="visible" r:id="rId15"/>
    <sheet xmlns:r="http://schemas.openxmlformats.org/officeDocument/2006/relationships" name="15 Gov Exam Mock Testing" sheetId="16" state="visible" r:id="rId16"/>
    <sheet xmlns:r="http://schemas.openxmlformats.org/officeDocument/2006/relationships" name="16 Billing Credits Testing" sheetId="17" state="visible" r:id="rId17"/>
    <sheet xmlns:r="http://schemas.openxmlformats.org/officeDocument/2006/relationships" name="17 Role Based Testing" sheetId="18" state="visible" r:id="rId18"/>
    <sheet xmlns:r="http://schemas.openxmlformats.org/officeDocument/2006/relationships" name="18 Regression Testing" sheetId="19" state="visible" r:id="rId19"/>
    <sheet xmlns:r="http://schemas.openxmlformats.org/officeDocument/2006/relationships" name="19 Production Readiness" sheetId="20" state="visible" r:id="rId20"/>
    <sheet xmlns:r="http://schemas.openxmlformats.org/officeDocument/2006/relationships" name="20 Release Sign-Off" sheetId="21" state="visible" r:id="rId21"/>
    <sheet xmlns:r="http://schemas.openxmlformats.org/officeDocument/2006/relationships" name="21 Test Credentials" sheetId="22" state="visible" r:id="rId22"/>
    <sheet xmlns:r="http://schemas.openxmlformats.org/officeDocument/2006/relationships" name="22 Environments" sheetId="23" state="visible" r:id="rId23"/>
    <sheet xmlns:r="http://schemas.openxmlformats.org/officeDocument/2006/relationships" name="23 Module Playbooks" sheetId="24" state="visible" r:id="rId24"/>
    <sheet xmlns:r="http://schemas.openxmlformats.org/officeDocument/2006/relationships" name="24 Launch Status" sheetId="25" state="visible" r:id="rId25"/>
    <sheet xmlns:r="http://schemas.openxmlformats.org/officeDocument/2006/relationships" name="25 Smoke Pack" sheetId="26" state="visible" r:id="rId26"/>
    <sheet xmlns:r="http://schemas.openxmlformats.org/officeDocument/2006/relationships" name="QA Team" sheetId="27" state="visible" r:id="rId27"/>
    <sheet xmlns:r="http://schemas.openxmlformats.org/officeDocument/2006/relationships" name="Daily Log" sheetId="28" state="visible" r:id="rId28"/>
    <sheet xmlns:r="http://schemas.openxmlformats.org/officeDocument/2006/relationships" name="Lists" sheetId="29" state="visible" r:id="rId29"/>
  </sheets>
  <definedNames>
    <definedName name="_xlnm._FilterDatabase" localSheetId="2" hidden="1">'02 Module Master'!$A$2:$P$23</definedName>
    <definedName name="_xlnm._FilterDatabase" localSheetId="3" hidden="1">'03 Feature Inventory'!$A$2:$Y$117</definedName>
    <definedName name="_xlnm._FilterDatabase" localSheetId="4" hidden="1">'04 Test Case Repository'!$A$2:$AH$15</definedName>
    <definedName name="_xlnm._FilterDatabase" localSheetId="5" hidden="1">'05 E2E User Flows'!$A$2:$O$9</definedName>
    <definedName name="_xlnm._FilterDatabase" localSheetId="6" hidden="1">'06 Bug Tracker'!$A$2:$X$60</definedName>
    <definedName name="_xlnm._FilterDatabase" localSheetId="7" hidden="1">'07 UI-UX Testing'!$A$2:$M$7</definedName>
    <definedName name="_xlnm._FilterDatabase" localSheetId="8" hidden="1">'08 Mobile Responsiveness'!$A$2:$L$7</definedName>
    <definedName name="_xlnm._FilterDatabase" localSheetId="9" hidden="1">'09 API Testing'!$A$2:$M$8</definedName>
    <definedName name="_xlnm._FilterDatabase" localSheetId="10" hidden="1">'10 Database Validation'!$A$2:$M$8</definedName>
    <definedName name="_xlnm._FilterDatabase" localSheetId="11" hidden="1">'11 Authentication Testing'!$A$2:$N$7</definedName>
    <definedName name="_xlnm._FilterDatabase" localSheetId="12" hidden="1">'12 Security Testing'!$A$2:$P$8</definedName>
    <definedName name="_xlnm._FilterDatabase" localSheetId="13" hidden="1">'13 Performance Testing'!$A$2:$J$7</definedName>
    <definedName name="_xlnm._FilterDatabase" localSheetId="14" hidden="1">'14 Live Coaching Testing'!$A$2:$O$7</definedName>
    <definedName name="_xlnm._FilterDatabase" localSheetId="15" hidden="1">'15 Gov Exam Mock Testing'!$A$2:$P$7</definedName>
    <definedName name="_xlnm._FilterDatabase" localSheetId="16" hidden="1">'16 Billing Credits Testing'!$A$2:$R$8</definedName>
    <definedName name="_xlnm._FilterDatabase" localSheetId="17" hidden="1">'17 Role Based Testing'!$A$2:$J$11</definedName>
    <definedName name="_xlnm._FilterDatabase" localSheetId="18" hidden="1">'18 Regression Testing'!$A$2:$K$9</definedName>
    <definedName name="_xlnm._FilterDatabase" localSheetId="19" hidden="1">'19 Production Readiness'!$A$2:$T$10</definedName>
    <definedName name="_xlnm._FilterDatabase" localSheetId="20" hidden="1">'20 Release Sign-Off'!$A$2:$M$5</definedName>
    <definedName name="_xlnm._FilterDatabase" localSheetId="21" hidden="1">'21 Test Credentials'!$A$2:$H$8</definedName>
    <definedName name="_xlnm._FilterDatabase" localSheetId="22" hidden="1">'22 Environments'!$A$2:$F$5</definedName>
    <definedName name="_xlnm._FilterDatabase" localSheetId="23" hidden="1">'23 Module Playbooks'!$A$2:$H$22</definedName>
    <definedName name="_xlnm._FilterDatabase" localSheetId="24" hidden="1">'24 Launch Status'!$A$2:$C$8</definedName>
    <definedName name="_xlnm._FilterDatabase" localSheetId="25" hidden="1">'25 Smoke Pack'!$A$2:$H$22</definedName>
    <definedName name="_xlnm._FilterDatabase" localSheetId="26" hidden="1">'QA Team'!$A$2:$K$8</definedName>
    <definedName name="_xlnm._FilterDatabase" localSheetId="27" hidden="1">'Daily Log'!$A$2:$J$10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0F172A"/>
      <sz val="18"/>
    </font>
    <font>
      <b val="1"/>
    </font>
    <font>
      <b val="1"/>
      <color rgb="00FFFFFF"/>
    </font>
    <font>
      <name val="Calibri"/>
      <i val="1"/>
      <color rgb="0064748B"/>
      <sz val="10"/>
    </font>
    <font>
      <name val="Calibri"/>
      <b val="1"/>
      <color rgb="000F766E"/>
      <sz val="12"/>
    </font>
    <font>
      <name val="Calibri"/>
      <color rgb="00334155"/>
      <sz val="9"/>
    </font>
    <font>
      <name val="Calibri"/>
      <b val="1"/>
      <color rgb="00FFFFFF"/>
      <sz val="16"/>
    </font>
    <font>
      <name val="Consolas"/>
      <color rgb="000F766E"/>
      <sz val="12"/>
    </font>
  </fonts>
  <fills count="11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1F5F9"/>
      </patternFill>
    </fill>
    <fill>
      <patternFill patternType="solid">
        <fgColor rgb="000F766E"/>
      </patternFill>
    </fill>
    <fill>
      <patternFill patternType="solid">
        <fgColor rgb="0086EFAC"/>
      </patternFill>
    </fill>
    <fill>
      <patternFill patternType="solid">
        <fgColor rgb="00FCA5A5"/>
      </patternFill>
    </fill>
    <fill>
      <patternFill patternType="solid">
        <fgColor rgb="00FDE047"/>
      </patternFill>
    </fill>
    <fill>
      <patternFill patternType="solid">
        <fgColor rgb="00CBD5E1"/>
      </patternFill>
    </fill>
    <fill>
      <patternFill patternType="solid">
        <fgColor rgb="0093C5FD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10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9" fillId="0" borderId="1" pivotButton="0" quotePrefix="0" xfId="0"/>
    <xf numFmtId="165" fontId="8" fillId="4" borderId="1" applyAlignment="1" pivotButton="0" quotePrefix="0" xfId="0">
      <alignment horizontal="center" vertical="center" wrapText="1"/>
    </xf>
    <xf numFmtId="9" fontId="0" fillId="0" borderId="0" pivotButton="0" quotePrefix="0" xfId="0"/>
    <xf numFmtId="166" fontId="8" fillId="4" borderId="1" applyAlignment="1" pivotButton="0" quotePrefix="0" xfId="0">
      <alignment horizontal="center" vertical="center" wrapText="1"/>
    </xf>
    <xf numFmtId="0" fontId="1" fillId="2" borderId="1" applyAlignment="1" applyProtection="1" pivotButton="0" quotePrefix="0" xfId="0">
      <alignment vertical="top" wrapText="1"/>
      <protection locked="0" hidden="0"/>
    </xf>
    <xf numFmtId="0" fontId="0" fillId="0" borderId="1" applyAlignment="1" applyProtection="1" pivotButton="0" quotePrefix="0" xfId="0">
      <alignment vertical="top" wrapText="1"/>
      <protection locked="0" hidden="0"/>
    </xf>
    <xf numFmtId="0" fontId="0" fillId="3" borderId="1" applyAlignment="1" applyProtection="1" pivotButton="0" quotePrefix="0" xfId="0">
      <alignment vertical="top" wrapText="1"/>
      <protection locked="0" hidden="0"/>
    </xf>
    <xf numFmtId="0" fontId="3" fillId="0" borderId="1" applyAlignment="1" applyProtection="1" pivotButton="0" quotePrefix="0" xfId="0">
      <alignment vertical="top" wrapText="1"/>
      <protection locked="0" hidden="0"/>
    </xf>
    <xf numFmtId="164" fontId="0" fillId="0" borderId="1" applyAlignment="1" applyProtection="1" pivotButton="0" quotePrefix="0" xfId="0">
      <alignment vertical="top" wrapText="1"/>
      <protection locked="0" hidden="0"/>
    </xf>
    <xf numFmtId="164" fontId="0" fillId="3" borderId="1" applyAlignment="1" applyProtection="1" pivotButton="0" quotePrefix="0" xfId="0">
      <alignment vertical="top" wrapText="1"/>
      <protection locked="0" hidden="0"/>
    </xf>
    <xf numFmtId="0" fontId="4" fillId="4" borderId="1" applyAlignment="1" applyProtection="1" pivotButton="0" quotePrefix="0" xfId="0">
      <alignment vertical="top" wrapText="1"/>
      <protection locked="0" hidden="0"/>
    </xf>
    <xf numFmtId="165" fontId="0" fillId="0" borderId="1" applyAlignment="1" applyProtection="1" pivotButton="0" quotePrefix="0" xfId="0">
      <alignment vertical="top" wrapText="1"/>
      <protection locked="0" hidden="0"/>
    </xf>
    <xf numFmtId="165" fontId="0" fillId="3" borderId="1" applyAlignment="1" applyProtection="1" pivotButton="0" quotePrefix="0" xfId="0">
      <alignment vertical="top" wrapText="1"/>
      <protection locked="0" hidden="0"/>
    </xf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165" fontId="4" fillId="4" borderId="1" applyAlignment="1" applyProtection="1" pivotButton="0" quotePrefix="0" xfId="0">
      <alignment vertical="top" wrapText="1"/>
      <protection locked="0" hidden="0"/>
    </xf>
    <xf numFmtId="0" fontId="3" fillId="3" borderId="1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dxfs count="9">
    <dxf>
      <fill>
        <patternFill patternType="solid">
          <fgColor rgb="00F87171"/>
        </patternFill>
      </fill>
    </dxf>
    <dxf>
      <fill>
        <patternFill patternType="solid">
          <fgColor rgb="00FDBA74"/>
        </patternFill>
      </fill>
    </dxf>
    <dxf>
      <fill>
        <patternFill patternType="solid">
          <fgColor rgb="00FDE68A"/>
        </patternFill>
      </fill>
    </dxf>
    <dxf>
      <fill>
        <patternFill patternType="solid">
          <fgColor rgb="00BFDBFE"/>
        </patternFill>
      </fill>
    </dxf>
    <dxf>
      <fill>
        <patternFill patternType="solid">
          <fgColor rgb="0086EFAC"/>
        </patternFill>
      </fill>
    </dxf>
    <dxf>
      <fill>
        <patternFill patternType="solid">
          <fgColor rgb="00FCA5A5"/>
        </patternFill>
      </fill>
    </dxf>
    <dxf>
      <fill>
        <patternFill patternType="solid">
          <fgColor rgb="00FDE047"/>
        </patternFill>
      </fill>
    </dxf>
    <dxf>
      <fill>
        <patternFill patternType="solid">
          <fgColor rgb="00CBD5E1"/>
        </patternFill>
      </fill>
    </dxf>
    <dxf>
      <fill>
        <patternFill patternType="solid">
          <fgColor rgb="0093C5F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Execution Mix</a:t>
            </a:r>
          </a:p>
        </rich>
      </tx>
    </title>
    <plotArea>
      <pieChart>
        <varyColors val="1"/>
        <ser>
          <idx val="0"/>
          <order val="0"/>
          <tx>
            <strRef>
              <f>'01 Dashboard'!G3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Dashboard'!$F$4:$F$7</f>
            </numRef>
          </cat>
          <val>
            <numRef>
              <f>'01 Dashboard'!$G$4:$G$7</f>
            </numRef>
          </val>
        </ser>
        <dLbls>
          <showVal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Bugs by Severity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 Dashboard'!G9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Dashboard'!$F$10:$F$13</f>
            </numRef>
          </cat>
          <val>
            <numRef>
              <f>'01 Dashboard'!$G$10:$G$13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Module Completion %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'01 Dashboard'!G15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Dashboard'!$F$16:$F$35</f>
            </numRef>
          </cat>
          <val>
            <numRef>
              <f>'01 Dashboard'!$G$16:$G$35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 (Executed vs Passed)</a:t>
            </a:r>
          </a:p>
        </rich>
      </tx>
    </title>
    <plotArea>
      <lineChart>
        <grouping val="standard"/>
        <ser>
          <idx val="0"/>
          <order val="0"/>
          <tx>
            <strRef>
              <f>'01 Dashboard'!J4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'01 Dashboard'!$I$5:$I$11</f>
            </numRef>
          </cat>
          <val>
            <numRef>
              <f>'01 Dashboard'!$J$5:$J$11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Actual Hours by QA Person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 Dashboard'!O3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Dashboard'!$N$4:$N$8</f>
            </numRef>
          </cat>
          <val>
            <numRef>
              <f>'01 Dashboard'!$O$4:$O$8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24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24</row>
      <rowOff>0</rowOff>
    </from>
    <ext cx="54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41</row>
      <rowOff>0</rowOff>
    </from>
    <ext cx="540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Clarify AI — Enterprise QA Testing Workbook</t>
        </is>
      </c>
    </row>
    <row r="3">
      <c r="A3" s="2" t="inlineStr"/>
      <c r="B3" s="3" t="inlineStr"/>
    </row>
    <row r="4">
      <c r="A4" s="2" t="inlineStr">
        <is>
          <t>Application</t>
        </is>
      </c>
      <c r="B4" s="3" t="inlineStr">
        <is>
          <t>Clarify AI</t>
        </is>
      </c>
    </row>
    <row r="5">
      <c r="A5" s="2" t="inlineStr">
        <is>
          <t>Description</t>
        </is>
      </c>
      <c r="B5" s="3" t="inlineStr">
        <is>
          <t>AI-powered interview preparation &amp; rehearsal platform with Indian gov-exam MCQ mock tests, live coaching overlay, and dual Stripe/Razorpay billing.</t>
        </is>
      </c>
    </row>
    <row r="6">
      <c r="A6" s="2" t="inlineStr">
        <is>
          <t>Tech stack</t>
        </is>
      </c>
      <c r="B6" s="3" t="inlineStr">
        <is>
          <t>React 18 + TypeScript + Vite + Tailwind/shadcn · Supabase (Auth, Postgres+RLS, Edge/Deno, Storage, Realtime) · Electron · Deepgram · Gemini/OpenAI/Anthropic · Stripe + Razorpay</t>
        </is>
      </c>
    </row>
    <row r="7">
      <c r="A7" s="2" t="inlineStr">
        <is>
          <t>Portals</t>
        </is>
      </c>
      <c r="B7" s="3" t="inlineStr">
        <is>
          <t>Marketing · Auth · Candidate App · Admin · Electron Overlay</t>
        </is>
      </c>
    </row>
    <row r="8">
      <c r="A8" s="2" t="inlineStr">
        <is>
          <t>Roles</t>
        </is>
      </c>
      <c r="B8" s="3" t="inlineStr">
        <is>
          <t>Guest · Free User · Pro User · Max User · Admin</t>
        </is>
      </c>
    </row>
    <row r="9">
      <c r="A9" s="2" t="inlineStr">
        <is>
          <t>Version under test</t>
        </is>
      </c>
      <c r="B9" s="3" t="inlineStr">
        <is>
          <t>1.0.0 / 1.0.0-beta</t>
        </is>
      </c>
    </row>
    <row r="10">
      <c r="A10" s="2" t="inlineStr">
        <is>
          <t>Generated</t>
        </is>
      </c>
      <c r="B10" s="3" t="inlineStr">
        <is>
          <t>2026-07-29</t>
        </is>
      </c>
    </row>
    <row r="11">
      <c r="A11" s="2" t="inlineStr"/>
      <c r="B11" s="3" t="inlineStr"/>
    </row>
    <row r="12">
      <c r="A12" s="2" t="inlineStr">
        <is>
          <t>HOW TO USE</t>
        </is>
      </c>
      <c r="B12" s="3" t="inlineStr"/>
    </row>
    <row r="13">
      <c r="A13" s="2" t="inlineStr">
        <is>
          <t>1</t>
        </is>
      </c>
      <c r="B13" s="3" t="inlineStr">
        <is>
          <t>Open 01 Dashboard — all KPIs and charts are formula-driven. Do not type numbers there.</t>
        </is>
      </c>
    </row>
    <row r="14">
      <c r="A14" s="2" t="inlineStr">
        <is>
          <t>2</t>
        </is>
      </c>
      <c r="B14" s="3" t="inlineStr">
        <is>
          <t>Maintain Modules (02) and Features (03) as scope changes.</t>
        </is>
      </c>
    </row>
    <row r="15">
      <c r="A15" s="2" t="inlineStr">
        <is>
          <t>3</t>
        </is>
      </c>
      <c r="B15" s="3" t="inlineStr">
        <is>
          <t>Author/execute cases in 04; link defects in 06 via Bug ID.</t>
        </is>
      </c>
    </row>
    <row r="16">
      <c r="A16" s="2" t="inlineStr">
        <is>
          <t>4</t>
        </is>
      </c>
      <c r="B16" s="3" t="inlineStr">
        <is>
          <t>Run golden paths in 05 before every RC; fill Daily Log for progress charts.</t>
        </is>
      </c>
    </row>
    <row r="17">
      <c r="A17" s="2" t="inlineStr">
        <is>
          <t>5</t>
        </is>
      </c>
      <c r="B17" s="3" t="inlineStr">
        <is>
          <t>Execute domain packs 14–16 (Live Coaching, Gov Exam, Billing) — not marketplace.</t>
        </is>
      </c>
    </row>
    <row r="18">
      <c r="A18" s="2" t="inlineStr">
        <is>
          <t>6</t>
        </is>
      </c>
      <c r="B18" s="3" t="inlineStr">
        <is>
          <t>Complete 19 Production Readiness and 20 Release Sign-Off for Go/No-Go.</t>
        </is>
      </c>
    </row>
    <row r="19">
      <c r="A19" s="2" t="inlineStr">
        <is>
          <t>7</t>
        </is>
      </c>
      <c r="B19" s="3" t="inlineStr">
        <is>
          <t>All enums use Lists dropdowns. Track Est Hours / Actual Hours on modules, features, cases, E2E, and regression. Use QA Team sheet for roster capacity.</t>
        </is>
      </c>
    </row>
    <row r="20">
      <c r="A20" s="2" t="inlineStr"/>
      <c r="B20" s="3" t="inlineStr"/>
    </row>
    <row r="21">
      <c r="A21" s="2" t="inlineStr">
        <is>
          <t>QA TEAM</t>
        </is>
      </c>
      <c r="B21" s="3" t="inlineStr"/>
    </row>
    <row r="22">
      <c r="A22" s="2" t="inlineStr"/>
      <c r="B22" s="3" t="inlineStr">
        <is>
          <t>Kavya Iyer (QA Lead) · Asha Sharma (Senior QA) · Rohan Mehta (QA Engineer) · Priya Nair (QA Engineer) · Dev Patel (SDET)</t>
        </is>
      </c>
    </row>
    <row r="23">
      <c r="A23" s="4" t="inlineStr">
        <is>
          <t>Green</t>
        </is>
      </c>
      <c r="B23" s="3" t="inlineStr">
        <is>
          <t>Pass / Yes</t>
        </is>
      </c>
    </row>
    <row r="24">
      <c r="A24" s="5" t="inlineStr">
        <is>
          <t>Red</t>
        </is>
      </c>
      <c r="B24" s="3" t="inlineStr">
        <is>
          <t>Fail / No / Critical</t>
        </is>
      </c>
    </row>
    <row r="25">
      <c r="A25" s="6" t="inlineStr">
        <is>
          <t>Yellow</t>
        </is>
      </c>
      <c r="B25" s="3" t="inlineStr">
        <is>
          <t>In Progress / Blocked / Medium</t>
        </is>
      </c>
    </row>
    <row r="26">
      <c r="A26" s="7" t="inlineStr">
        <is>
          <t>Gray</t>
        </is>
      </c>
      <c r="B26" s="3" t="inlineStr">
        <is>
          <t>Not Started / Not Run</t>
        </is>
      </c>
    </row>
    <row r="27">
      <c r="A27" s="8" t="inlineStr">
        <is>
          <t>Blue</t>
        </is>
      </c>
      <c r="B27" s="3" t="inlineStr">
        <is>
          <t>Completed / Passed / Ready</t>
        </is>
      </c>
    </row>
    <row r="28">
      <c r="A28" s="2" t="inlineStr"/>
      <c r="B28" s="3" t="inlineStr"/>
    </row>
    <row r="29">
      <c r="A29" s="2" t="inlineStr">
        <is>
          <t>SCALING</t>
        </is>
      </c>
      <c r="B29" s="3" t="inlineStr"/>
    </row>
    <row r="30">
      <c r="A30" s="2" t="inlineStr"/>
      <c r="B30" s="3" t="inlineStr">
        <is>
          <t>Designed for hundreds of modules and tens of thousands of test cases. Keep one row per entity; use filters and freeze panes. Dashboard formulas scan to row 5000.</t>
        </is>
      </c>
    </row>
    <row r="31">
      <c r="A31" s="2" t="inlineStr">
        <is>
          <t>Google Sheets</t>
        </is>
      </c>
      <c r="B31" s="3" t="inlineStr">
        <is>
          <t>Upload this .xlsx to Drive → Open with Google Sheets. Charts and data validation transfer; re-check named Lists ranges after import.</t>
        </is>
      </c>
    </row>
    <row r="32">
      <c r="A32" s="2" t="inlineStr"/>
      <c r="B32" s="3" t="inlineStr"/>
    </row>
    <row r="33">
      <c r="A33" s="2" t="inlineStr">
        <is>
          <t>SHEET INDEX</t>
        </is>
      </c>
      <c r="B33" s="3" t="inlineStr"/>
    </row>
    <row r="34">
      <c r="A34" s="2" t="inlineStr">
        <is>
          <t>01 Dashboard</t>
        </is>
      </c>
      <c r="B34" s="3" t="inlineStr">
        <is>
          <t>Live KPIs + charts</t>
        </is>
      </c>
    </row>
    <row r="35">
      <c r="A35" s="2" t="inlineStr">
        <is>
          <t>02 Module Master</t>
        </is>
      </c>
      <c r="B35" s="3" t="inlineStr">
        <is>
          <t>20 Clarify modules</t>
        </is>
      </c>
    </row>
    <row r="36">
      <c r="A36" s="2" t="inlineStr">
        <is>
          <t>03 Feature Inventory</t>
        </is>
      </c>
      <c r="B36" s="3" t="inlineStr">
        <is>
          <t>Feature coverage matrix</t>
        </is>
      </c>
    </row>
    <row r="37">
      <c r="A37" s="2" t="inlineStr">
        <is>
          <t>04 Test Case Repository</t>
        </is>
      </c>
      <c r="B37" s="3" t="inlineStr">
        <is>
          <t>Executable cases</t>
        </is>
      </c>
    </row>
    <row r="38">
      <c r="A38" s="2" t="inlineStr">
        <is>
          <t>05 E2E User Flows</t>
        </is>
      </c>
      <c r="B38" s="3" t="inlineStr">
        <is>
          <t>Cross-module journeys</t>
        </is>
      </c>
    </row>
    <row r="39">
      <c r="A39" s="2" t="inlineStr">
        <is>
          <t>06 Bug Tracker</t>
        </is>
      </c>
      <c r="B39" s="3" t="inlineStr">
        <is>
          <t>Defect lifecycle</t>
        </is>
      </c>
    </row>
    <row r="40">
      <c r="A40" s="2" t="inlineStr">
        <is>
          <t>07 UI-UX Testing</t>
        </is>
      </c>
      <c r="B40" s="3" t="inlineStr">
        <is>
          <t>Visual / a11y</t>
        </is>
      </c>
    </row>
    <row r="41">
      <c r="A41" s="2" t="inlineStr">
        <is>
          <t>08 Mobile Responsiveness</t>
        </is>
      </c>
      <c r="B41" s="3" t="inlineStr">
        <is>
          <t>Breakpoints</t>
        </is>
      </c>
    </row>
    <row r="42">
      <c r="A42" s="2" t="inlineStr">
        <is>
          <t>09 API Testing</t>
        </is>
      </c>
      <c r="B42" s="3" t="inlineStr">
        <is>
          <t>Edge functions</t>
        </is>
      </c>
    </row>
    <row r="43">
      <c r="A43" s="2" t="inlineStr">
        <is>
          <t>10 Database Validation</t>
        </is>
      </c>
      <c r="B43" s="3" t="inlineStr">
        <is>
          <t>Schema / RLS</t>
        </is>
      </c>
    </row>
    <row r="44">
      <c r="A44" s="2" t="inlineStr">
        <is>
          <t>11 Authentication Testing</t>
        </is>
      </c>
      <c r="B44" s="3" t="inlineStr">
        <is>
          <t>Auth matrix</t>
        </is>
      </c>
    </row>
    <row r="45">
      <c r="A45" s="2" t="inlineStr">
        <is>
          <t>12 Security Testing</t>
        </is>
      </c>
      <c r="B45" s="3" t="inlineStr">
        <is>
          <t>OWASP-style</t>
        </is>
      </c>
    </row>
    <row r="46">
      <c r="A46" s="2" t="inlineStr">
        <is>
          <t>13 Performance Testing</t>
        </is>
      </c>
      <c r="B46" s="3" t="inlineStr">
        <is>
          <t>Latency budgets</t>
        </is>
      </c>
    </row>
    <row r="47">
      <c r="A47" s="2" t="inlineStr">
        <is>
          <t>14 Live Coaching Testing</t>
        </is>
      </c>
      <c r="B47" s="3" t="inlineStr">
        <is>
          <t>Domain: live coach + overlay</t>
        </is>
      </c>
    </row>
    <row r="48">
      <c r="A48" s="2" t="inlineStr">
        <is>
          <t>15 Gov Exam Mock Testing</t>
        </is>
      </c>
      <c r="B48" s="3" t="inlineStr">
        <is>
          <t>Domain: MCQ engine</t>
        </is>
      </c>
    </row>
    <row r="49">
      <c r="A49" s="2" t="inlineStr">
        <is>
          <t>16 Billing Credits Testing</t>
        </is>
      </c>
      <c r="B49" s="3" t="inlineStr">
        <is>
          <t>Domain: Stripe/Razorpay/credits</t>
        </is>
      </c>
    </row>
    <row r="50">
      <c r="A50" s="2" t="inlineStr">
        <is>
          <t>17 Role Based Testing</t>
        </is>
      </c>
      <c r="B50" s="3" t="inlineStr">
        <is>
          <t>Plan + admin RBAC</t>
        </is>
      </c>
    </row>
    <row r="51">
      <c r="A51" s="2" t="inlineStr">
        <is>
          <t>18 Regression Testing</t>
        </is>
      </c>
      <c r="B51" s="3" t="inlineStr">
        <is>
          <t>Release regression pack</t>
        </is>
      </c>
    </row>
    <row r="52">
      <c r="A52" s="2" t="inlineStr">
        <is>
          <t>19 Production Readiness</t>
        </is>
      </c>
      <c r="B52" s="3" t="inlineStr">
        <is>
          <t>Go-live checklist</t>
        </is>
      </c>
    </row>
    <row r="53">
      <c r="A53" s="2" t="inlineStr">
        <is>
          <t>20 Release Sign-Off</t>
        </is>
      </c>
      <c r="B53" s="3" t="inlineStr">
        <is>
          <t>Formal approval</t>
        </is>
      </c>
    </row>
    <row r="54">
      <c r="A54" s="2" t="inlineStr">
        <is>
          <t>Daily Log</t>
        </is>
      </c>
      <c r="B54" s="3" t="inlineStr">
        <is>
          <t>Feeds daily progress chart</t>
        </is>
      </c>
    </row>
    <row r="55">
      <c r="A55" s="2" t="inlineStr">
        <is>
          <t>Lists</t>
        </is>
      </c>
      <c r="B55" s="3" t="inlineStr">
        <is>
          <t>Dropdown vocabulary — do not delete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6" customWidth="1" min="3" max="3"/>
    <col width="22" customWidth="1" min="4" max="4"/>
    <col width="28" customWidth="1" min="6" max="6"/>
    <col width="14" customWidth="1" min="7" max="7"/>
    <col width="14" customWidth="1" min="9" max="9"/>
    <col width="12" customWidth="1" min="10" max="10"/>
    <col width="10" customWidth="1" min="11" max="11"/>
    <col width="16" customWidth="1" min="14" max="14"/>
    <col width="12" customWidth="1" min="15" max="15"/>
  </cols>
  <sheetData>
    <row r="1">
      <c r="A1" s="1" t="inlineStr">
        <is>
          <t>Clarify AI — QA Executive Dashboard</t>
        </is>
      </c>
    </row>
    <row r="2">
      <c r="A2" s="9" t="inlineStr">
        <is>
          <t>Formula-driven · Do not edit KPI cells (protected intent) · Source sheets 02–20 + Daily Log</t>
        </is>
      </c>
    </row>
    <row r="3">
      <c r="A3" s="10" t="inlineStr">
        <is>
          <t>KEY PERFORMANCE INDICATORS</t>
        </is>
      </c>
      <c r="F3" s="10" t="inlineStr">
        <is>
          <t>Count</t>
        </is>
      </c>
      <c r="I3" s="10" t="inlineStr">
        <is>
          <t>Daily Progress</t>
        </is>
      </c>
      <c r="N3" s="10" t="inlineStr">
        <is>
          <t>QA Person</t>
        </is>
      </c>
      <c r="O3" t="inlineStr">
        <is>
          <t>Actual Hours</t>
        </is>
      </c>
    </row>
    <row r="4">
      <c r="A4" s="11" t="inlineStr">
        <is>
          <t>Total Modules</t>
        </is>
      </c>
      <c r="B4" s="12">
        <f>IFERROR(COUNTA('02 Module Master'!A3:A5000)-COUNTIF('02 Module Master'!A3:A5000,"TOTAL"),0)</f>
        <v/>
      </c>
      <c r="C4" s="10" t="inlineStr">
        <is>
          <t>PROGRESS BARS</t>
        </is>
      </c>
      <c r="F4" t="inlineStr">
        <is>
          <t>Passed</t>
        </is>
      </c>
      <c r="G4">
        <f>IFERROR(B7,0)</f>
        <v/>
      </c>
      <c r="I4" t="inlineStr">
        <is>
          <t>Date</t>
        </is>
      </c>
      <c r="J4" t="inlineStr">
        <is>
          <t>Executed</t>
        </is>
      </c>
      <c r="K4" t="inlineStr">
        <is>
          <t>Passed</t>
        </is>
      </c>
      <c r="L4" t="inlineStr">
        <is>
          <t>Hours</t>
        </is>
      </c>
      <c r="N4" t="inlineStr">
        <is>
          <t>Kavya Iyer</t>
        </is>
      </c>
      <c r="O4">
        <f>IFERROR(SUMIF('04 Test Case Repository'!S$3:S$5000,N4,'04 Test Case Repository'!U$3:U$5000),0)</f>
        <v/>
      </c>
    </row>
    <row r="5">
      <c r="A5" s="11" t="inlineStr">
        <is>
          <t>Total Features</t>
        </is>
      </c>
      <c r="B5" s="12">
        <f>IFERROR(COUNTA('03 Feature Inventory'!A3:A5000)-COUNTIF('03 Feature Inventory'!A3:A5000,"TOTAL"),0)</f>
        <v/>
      </c>
      <c r="C5" s="13" t="inlineStr">
        <is>
          <t>Pass Rate</t>
        </is>
      </c>
      <c r="D5" s="14">
        <f>IFERROR(REPT("#",MAX(0,MIN(10,ROUND(N(B16)*10,0))))&amp;REPT("-",10-MAX(0,MIN(10,ROUND(N(B16)*10,0)))),REPT("-",10))</f>
        <v/>
      </c>
      <c r="F5" t="inlineStr">
        <is>
          <t>Failed</t>
        </is>
      </c>
      <c r="G5">
        <f>IFERROR(B8,0)</f>
        <v/>
      </c>
      <c r="I5">
        <f>IFERROR('Daily Log'!A3,"")</f>
        <v/>
      </c>
      <c r="J5">
        <f>IFERROR('Daily Log'!C3,0)</f>
        <v/>
      </c>
      <c r="K5">
        <f>IFERROR('Daily Log'!D3,0)</f>
        <v/>
      </c>
      <c r="L5">
        <f>IFERROR('Daily Log'!I3,0)</f>
        <v/>
      </c>
      <c r="N5" t="inlineStr">
        <is>
          <t>Asha Sharma</t>
        </is>
      </c>
      <c r="O5">
        <f>IFERROR(SUMIF('04 Test Case Repository'!S$3:S$5000,N5,'04 Test Case Repository'!U$3:U$5000),0)</f>
        <v/>
      </c>
    </row>
    <row r="6">
      <c r="A6" s="11" t="inlineStr">
        <is>
          <t>Total Test Cases</t>
        </is>
      </c>
      <c r="B6" s="12">
        <f>IFERROR(COUNTA('04 Test Case Repository'!A3:A5000)-COUNTIF('04 Test Case Repository'!A3:A5000,"TOTAL"),0)</f>
        <v/>
      </c>
      <c r="C6" s="13" t="inlineStr">
        <is>
          <t>QA Progress</t>
        </is>
      </c>
      <c r="D6" s="14">
        <f>IFERROR(REPT("#",MAX(0,MIN(10,ROUND(N(B18)*10,0))))&amp;REPT("-",10-MAX(0,MIN(10,ROUND(N(B18)*10,0)))),REPT("-",10))</f>
        <v/>
      </c>
      <c r="F6" t="inlineStr">
        <is>
          <t>Blocked</t>
        </is>
      </c>
      <c r="G6">
        <f>IFERROR(B9,0)</f>
        <v/>
      </c>
      <c r="I6">
        <f>IFERROR('Daily Log'!A4,"")</f>
        <v/>
      </c>
      <c r="J6">
        <f>IFERROR('Daily Log'!C4,0)</f>
        <v/>
      </c>
      <c r="K6">
        <f>IFERROR('Daily Log'!D4,0)</f>
        <v/>
      </c>
      <c r="L6">
        <f>IFERROR('Daily Log'!I4,0)</f>
        <v/>
      </c>
      <c r="N6" t="inlineStr">
        <is>
          <t>Rohan Mehta</t>
        </is>
      </c>
      <c r="O6">
        <f>IFERROR(SUMIF('04 Test Case Repository'!S$3:S$5000,N6,'04 Test Case Repository'!U$3:U$5000),0)</f>
        <v/>
      </c>
    </row>
    <row r="7">
      <c r="A7" s="11" t="inlineStr">
        <is>
          <t>Passed</t>
        </is>
      </c>
      <c r="B7" s="12">
        <f>IFERROR(COUNTIF('04 Test Case Repository'!P3:P5000,"Pass"),0)</f>
        <v/>
      </c>
      <c r="C7" s="13" t="inlineStr">
        <is>
          <t>Prod Ready</t>
        </is>
      </c>
      <c r="D7" s="14">
        <f>IFERROR(REPT("#",MAX(0,MIN(10,ROUND(N(B19)*10,0))))&amp;REPT("-",10-MAX(0,MIN(10,ROUND(N(B19)*10,0)))),REPT("-",10))</f>
        <v/>
      </c>
      <c r="F7" t="inlineStr">
        <is>
          <t>Not Executed</t>
        </is>
      </c>
      <c r="G7">
        <f>IFERROR(B10,0)</f>
        <v/>
      </c>
      <c r="I7">
        <f>IFERROR('Daily Log'!A5,"")</f>
        <v/>
      </c>
      <c r="J7">
        <f>IFERROR('Daily Log'!C5,0)</f>
        <v/>
      </c>
      <c r="K7">
        <f>IFERROR('Daily Log'!D5,0)</f>
        <v/>
      </c>
      <c r="L7">
        <f>IFERROR('Daily Log'!I5,0)</f>
        <v/>
      </c>
      <c r="N7" t="inlineStr">
        <is>
          <t>Priya Nair</t>
        </is>
      </c>
      <c r="O7">
        <f>IFERROR(SUMIF('04 Test Case Repository'!S$3:S$5000,N7,'04 Test Case Repository'!U$3:U$5000),0)</f>
        <v/>
      </c>
    </row>
    <row r="8">
      <c r="A8" s="11" t="inlineStr">
        <is>
          <t>Failed</t>
        </is>
      </c>
      <c r="B8" s="12">
        <f>IFERROR(COUNTIF('04 Test Case Repository'!P3:P5000,"Fail"),0)</f>
        <v/>
      </c>
      <c r="C8" s="13" t="inlineStr">
        <is>
          <t>Module Complete</t>
        </is>
      </c>
      <c r="D8" s="14">
        <f>IFERROR(REPT("#",MAX(0,MIN(10,ROUND(IFERROR(COUNTIF('02 Module Master'!H3:H5000,"Completed")/MAX(1,COUNTA('02 Module Master'!A3:A5000)),0)*10,0))))&amp;REPT("-",10-MAX(0,MIN(10,ROUND(IFERROR(COUNTIF('02 Module Master'!H3:H5000,"Completed")/MAX(1,COUNTA('02 Module Master'!A3:A5000)),0)*10,0)))),REPT("-",10))</f>
        <v/>
      </c>
      <c r="I8">
        <f>IFERROR('Daily Log'!A6,"")</f>
        <v/>
      </c>
      <c r="J8">
        <f>IFERROR('Daily Log'!C6,0)</f>
        <v/>
      </c>
      <c r="K8">
        <f>IFERROR('Daily Log'!D6,0)</f>
        <v/>
      </c>
      <c r="L8">
        <f>IFERROR('Daily Log'!I6,0)</f>
        <v/>
      </c>
      <c r="N8" t="inlineStr">
        <is>
          <t>Dev Patel</t>
        </is>
      </c>
      <c r="O8">
        <f>IFERROR(SUMIF('04 Test Case Repository'!S$3:S$5000,N8,'04 Test Case Repository'!U$3:U$5000),0)</f>
        <v/>
      </c>
    </row>
    <row r="9">
      <c r="A9" s="11" t="inlineStr">
        <is>
          <t>Blocked</t>
        </is>
      </c>
      <c r="B9" s="12">
        <f>IFERROR(COUNTIF('04 Test Case Repository'!P3:P5000,"Blocked"),0)</f>
        <v/>
      </c>
      <c r="C9" s="13" t="inlineStr">
        <is>
          <t>Hours Burn</t>
        </is>
      </c>
      <c r="D9" s="14">
        <f>IFERROR(REPT("#",MAX(0,MIN(10,ROUND(IF(B20=0,0,MIN(1,B21/B20))*10,0))))&amp;REPT("-",10-MAX(0,MIN(10,ROUND(IF(B20=0,0,MIN(1,B21/B20))*10,0)))),REPT("-",10))</f>
        <v/>
      </c>
      <c r="F9" s="10" t="inlineStr">
        <is>
          <t>Count</t>
        </is>
      </c>
      <c r="I9">
        <f>IFERROR('Daily Log'!A7,"")</f>
        <v/>
      </c>
      <c r="J9">
        <f>IFERROR('Daily Log'!C7,0)</f>
        <v/>
      </c>
      <c r="K9">
        <f>IFERROR('Daily Log'!D7,0)</f>
        <v/>
      </c>
      <c r="L9">
        <f>IFERROR('Daily Log'!I7,0)</f>
        <v/>
      </c>
    </row>
    <row r="10">
      <c r="A10" s="11" t="inlineStr">
        <is>
          <t>Not Executed</t>
        </is>
      </c>
      <c r="B10" s="12">
        <f>IFERROR(COUNTIF('04 Test Case Repository'!P3:P5000,"Not Run"),0)</f>
        <v/>
      </c>
      <c r="F10" t="inlineStr">
        <is>
          <t>Critical</t>
        </is>
      </c>
      <c r="G10">
        <f>IFERROR(B12,0)</f>
        <v/>
      </c>
      <c r="I10">
        <f>IFERROR('Daily Log'!A8,"")</f>
        <v/>
      </c>
      <c r="J10">
        <f>IFERROR('Daily Log'!C8,0)</f>
        <v/>
      </c>
      <c r="K10">
        <f>IFERROR('Daily Log'!D8,0)</f>
        <v/>
      </c>
      <c r="L10">
        <f>IFERROR('Daily Log'!I8,0)</f>
        <v/>
      </c>
    </row>
    <row r="11">
      <c r="A11" s="11" t="inlineStr">
        <is>
          <t>In Progress</t>
        </is>
      </c>
      <c r="B11" s="12">
        <f>IFERROR(COUNTIF('04 Test Case Repository'!Q3:Q5000,"In Progress"),0)</f>
        <v/>
      </c>
      <c r="F11" t="inlineStr">
        <is>
          <t>High</t>
        </is>
      </c>
      <c r="G11">
        <f>IFERROR(B13,0)</f>
        <v/>
      </c>
      <c r="I11">
        <f>IFERROR('Daily Log'!A9,"")</f>
        <v/>
      </c>
      <c r="J11">
        <f>IFERROR('Daily Log'!C9,0)</f>
        <v/>
      </c>
      <c r="K11">
        <f>IFERROR('Daily Log'!D9,0)</f>
        <v/>
      </c>
      <c r="L11">
        <f>IFERROR('Daily Log'!I9,0)</f>
        <v/>
      </c>
    </row>
    <row r="12">
      <c r="A12" s="11" t="inlineStr">
        <is>
          <t>Critical Bugs</t>
        </is>
      </c>
      <c r="B12" s="12">
        <f>IFERROR(COUNTIFS('06 Bug Tracker'!J3:J5000,"Critical",'06 Bug Tracker'!L3:L5000,"&lt;&gt;Closed"),0)</f>
        <v/>
      </c>
      <c r="F12" t="inlineStr">
        <is>
          <t>Medium</t>
        </is>
      </c>
      <c r="G12">
        <f>IFERROR(B14,0)</f>
        <v/>
      </c>
    </row>
    <row r="13">
      <c r="A13" s="11" t="inlineStr">
        <is>
          <t>High Bugs</t>
        </is>
      </c>
      <c r="B13" s="12">
        <f>IFERROR(COUNTIFS('06 Bug Tracker'!J3:J5000,"High",'06 Bug Tracker'!L3:L5000,"&lt;&gt;Closed"),0)</f>
        <v/>
      </c>
      <c r="F13" t="inlineStr">
        <is>
          <t>Low</t>
        </is>
      </c>
      <c r="G13">
        <f>IFERROR(B15,0)</f>
        <v/>
      </c>
    </row>
    <row r="14">
      <c r="A14" s="11" t="inlineStr">
        <is>
          <t>Medium Bugs</t>
        </is>
      </c>
      <c r="B14" s="12">
        <f>IFERROR(COUNTIFS('06 Bug Tracker'!J3:J5000,"Medium",'06 Bug Tracker'!L3:L5000,"&lt;&gt;Closed"),0)</f>
        <v/>
      </c>
    </row>
    <row r="15">
      <c r="A15" s="11" t="inlineStr">
        <is>
          <t>Low Bugs</t>
        </is>
      </c>
      <c r="B15" s="12">
        <f>IFERROR(COUNTIFS('06 Bug Tracker'!J3:J5000,"Low",'06 Bug Tracker'!L3:L5000,"&lt;&gt;Closed"),0)</f>
        <v/>
      </c>
      <c r="F15" s="10" t="inlineStr">
        <is>
          <t>Module</t>
        </is>
      </c>
      <c r="G15" s="10" t="inlineStr">
        <is>
          <t>Completion %</t>
        </is>
      </c>
    </row>
    <row r="16">
      <c r="A16" s="11" t="inlineStr">
        <is>
          <t>Overall Pass %</t>
        </is>
      </c>
      <c r="B16" s="15">
        <f>IFERROR(IF((B7+B8+B9)=0,0,B7/(B7+B8+B9)),0)</f>
        <v/>
      </c>
      <c r="F16" t="inlineStr">
        <is>
          <t>Auth &amp; Onboarding</t>
        </is>
      </c>
      <c r="G16" s="16">
        <f>IFERROR(IF('02 Module Master'!I3=0,0,'02 Module Master'!J3/'02 Module Master'!I3),0)</f>
        <v/>
      </c>
    </row>
    <row r="17">
      <c r="A17" s="11" t="inlineStr">
        <is>
          <t>Overall Fail %</t>
        </is>
      </c>
      <c r="B17" s="15">
        <f>IFERROR(IF((B7+B8+B9)=0,0,B8/(B7+B8+B9)),0)</f>
        <v/>
      </c>
      <c r="F17" t="inlineStr">
        <is>
          <t>Dashboard</t>
        </is>
      </c>
      <c r="G17" s="16">
        <f>IFERROR(IF('02 Module Master'!I4=0,0,'02 Module Master'!J4/'02 Module Master'!I4),0)</f>
        <v/>
      </c>
    </row>
    <row r="18">
      <c r="A18" s="11" t="inlineStr">
        <is>
          <t>QA Progress %</t>
        </is>
      </c>
      <c r="B18" s="15">
        <f>IFERROR(IF(B6=0,0,(B7+B8+B9+B11)/B6),0)</f>
        <v/>
      </c>
      <c r="F18" t="inlineStr">
        <is>
          <t>Live Practice Coach</t>
        </is>
      </c>
      <c r="G18" s="16">
        <f>IFERROR(IF('02 Module Master'!I5=0,0,'02 Module Master'!J5/'02 Module Master'!I5),0)</f>
        <v/>
      </c>
    </row>
    <row r="19">
      <c r="A19" s="11" t="inlineStr">
        <is>
          <t>Production Readiness %</t>
        </is>
      </c>
      <c r="B19" s="15">
        <f>IFERROR(AVERAGEIF('19 Production Readiness'!A3:A5000,"&lt;&gt;",'19 Production Readiness'!R3:R5000),0)</f>
        <v/>
      </c>
      <c r="F19" t="inlineStr">
        <is>
          <t>Mock Interview</t>
        </is>
      </c>
      <c r="G19" s="16">
        <f>IFERROR(IF('02 Module Master'!I6=0,0,'02 Module Master'!J6/'02 Module Master'!I6),0)</f>
        <v/>
      </c>
    </row>
    <row r="20">
      <c r="A20" s="11" t="inlineStr">
        <is>
          <t>Est Hours (Total)</t>
        </is>
      </c>
      <c r="B20" s="17">
        <f>IFERROR(SUM('04 Test Case Repository'!T3:T5000),0)</f>
        <v/>
      </c>
      <c r="F20" t="inlineStr">
        <is>
          <t>Sessions &amp; Debriefs</t>
        </is>
      </c>
      <c r="G20" s="16">
        <f>IFERROR(IF('02 Module Master'!I7=0,0,'02 Module Master'!J7/'02 Module Master'!I7),0)</f>
        <v/>
      </c>
    </row>
    <row r="21">
      <c r="A21" s="11" t="inlineStr">
        <is>
          <t>Actual Hours (Total)</t>
        </is>
      </c>
      <c r="B21" s="17">
        <f>IFERROR(SUM('04 Test Case Repository'!U3:U5000),0)</f>
        <v/>
      </c>
      <c r="F21" t="inlineStr">
        <is>
          <t>Analytics &amp; Usage</t>
        </is>
      </c>
      <c r="G21" s="16">
        <f>IFERROR(IF('02 Module Master'!I8=0,0,'02 Module Master'!J8/'02 Module Master'!I8),0)</f>
        <v/>
      </c>
    </row>
    <row r="22">
      <c r="A22" s="11" t="inlineStr">
        <is>
          <t>Hours Variance</t>
        </is>
      </c>
      <c r="B22" s="17">
        <f>IFERROR(B21-B20,0)</f>
        <v/>
      </c>
      <c r="F22" t="inlineStr">
        <is>
          <t>Prep Lab</t>
        </is>
      </c>
      <c r="G22" s="16">
        <f>IFERROR(IF('02 Module Master'!I9=0,0,'02 Module Master'!J9/'02 Module Master'!I9),0)</f>
        <v/>
      </c>
    </row>
    <row r="23">
      <c r="A23" s="11" t="inlineStr">
        <is>
          <t>QA Team Size</t>
        </is>
      </c>
      <c r="B23" s="12">
        <f>IFERROR(COUNTA('QA Team'!A3:A50)-COUNTIF('QA Team'!A3:A50,"TOTAL"),0)</f>
        <v/>
      </c>
      <c r="F23" t="inlineStr">
        <is>
          <t>Documents &amp; Resumes</t>
        </is>
      </c>
      <c r="G23" s="16">
        <f>IFERROR(IF('02 Module Master'!I10=0,0,'02 Module Master'!J10/'02 Module Master'!I10),0)</f>
        <v/>
      </c>
    </row>
    <row r="24">
      <c r="F24" t="inlineStr">
        <is>
          <t>Answer Bank</t>
        </is>
      </c>
      <c r="G24" s="16">
        <f>IFERROR(IF('02 Module Master'!I11=0,0,'02 Module Master'!J11/'02 Module Master'!I11),0)</f>
        <v/>
      </c>
    </row>
    <row r="25">
      <c r="F25" t="inlineStr">
        <is>
          <t>Interviews &amp; Calendar</t>
        </is>
      </c>
      <c r="G25" s="16">
        <f>IFERROR(IF('02 Module Master'!I12=0,0,'02 Module Master'!J12/'02 Module Master'!I12),0)</f>
        <v/>
      </c>
    </row>
    <row r="26">
      <c r="F26" t="inlineStr">
        <is>
          <t>Company Research</t>
        </is>
      </c>
      <c r="G26" s="16">
        <f>IFERROR(IF('02 Module Master'!I13=0,0,'02 Module Master'!J13/'02 Module Master'!I13),0)</f>
        <v/>
      </c>
    </row>
    <row r="27">
      <c r="F27" t="inlineStr">
        <is>
          <t>Notifications &amp; Profile</t>
        </is>
      </c>
      <c r="G27" s="16">
        <f>IFERROR(IF('02 Module Master'!I14=0,0,'02 Module Master'!J14/'02 Module Master'!I14),0)</f>
        <v/>
      </c>
    </row>
    <row r="28">
      <c r="F28" t="inlineStr">
        <is>
          <t>Referrals &amp; Guide</t>
        </is>
      </c>
      <c r="G28" s="16">
        <f>IFERROR(IF('02 Module Master'!I15=0,0,'02 Module Master'!J15/'02 Module Master'!I15),0)</f>
        <v/>
      </c>
    </row>
    <row r="29">
      <c r="F29" t="inlineStr">
        <is>
          <t>Gov Exam Mock Tests</t>
        </is>
      </c>
      <c r="G29" s="16">
        <f>IFERROR(IF('02 Module Master'!I16=0,0,'02 Module Master'!J16/'02 Module Master'!I16),0)</f>
        <v/>
      </c>
    </row>
    <row r="30">
      <c r="F30" t="inlineStr">
        <is>
          <t>Settings</t>
        </is>
      </c>
      <c r="G30" s="16">
        <f>IFERROR(IF('02 Module Master'!I17=0,0,'02 Module Master'!J17/'02 Module Master'!I17),0)</f>
        <v/>
      </c>
    </row>
    <row r="31">
      <c r="F31" t="inlineStr">
        <is>
          <t>Admin Portal</t>
        </is>
      </c>
      <c r="G31" s="16">
        <f>IFERROR(IF('02 Module Master'!I18=0,0,'02 Module Master'!J18/'02 Module Master'!I18),0)</f>
        <v/>
      </c>
    </row>
    <row r="32">
      <c r="F32" t="inlineStr">
        <is>
          <t>Marketing Site</t>
        </is>
      </c>
      <c r="G32" s="16">
        <f>IFERROR(IF('02 Module Master'!I19=0,0,'02 Module Master'!J19/'02 Module Master'!I19),0)</f>
        <v/>
      </c>
    </row>
    <row r="33">
      <c r="F33" t="inlineStr">
        <is>
          <t>Billing &amp; Credits</t>
        </is>
      </c>
      <c r="G33" s="16">
        <f>IFERROR(IF('02 Module Master'!I20=0,0,'02 Module Master'!J20/'02 Module Master'!I20),0)</f>
        <v/>
      </c>
    </row>
    <row r="34">
      <c r="F34" t="inlineStr">
        <is>
          <t>Electron Desktop Overlay</t>
        </is>
      </c>
      <c r="G34" s="16">
        <f>IFERROR(IF('02 Module Master'!I21=0,0,'02 Module Master'!J21/'02 Module Master'!I21),0)</f>
        <v/>
      </c>
    </row>
    <row r="35">
      <c r="F35" t="inlineStr">
        <is>
          <t>Security &amp; Platform</t>
        </is>
      </c>
      <c r="G35" s="16">
        <f>IFERROR(IF('02 Module Master'!I22=0,0,'02 Module Master'!J22/'02 Module Master'!I22),0)</f>
        <v/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8" customWidth="1" min="3" max="3"/>
    <col width="36" customWidth="1" min="4" max="4"/>
    <col width="12" customWidth="1" min="5" max="5"/>
    <col width="13" customWidth="1" min="6" max="6"/>
    <col width="12" customWidth="1" min="7" max="7"/>
    <col width="13" customWidth="1" min="8" max="8"/>
    <col width="16" customWidth="1" min="9" max="9"/>
    <col width="20" customWidth="1" min="10" max="10"/>
    <col width="18" customWidth="1" min="11" max="11"/>
    <col width="14" customWidth="1" min="12" max="12"/>
    <col width="14" customWidth="1" min="13" max="13"/>
    <col width="13" customWidth="1" min="14" max="14"/>
    <col width="33" customWidth="1" min="15" max="15"/>
    <col width="31" customWidth="1" min="16" max="16"/>
  </cols>
  <sheetData>
    <row r="1">
      <c r="A1" s="1" t="inlineStr">
        <is>
          <t>Module Master — Clarify AI (20 core modules)</t>
        </is>
      </c>
    </row>
    <row r="2">
      <c r="A2" s="18" t="inlineStr">
        <is>
          <t>Module ID</t>
        </is>
      </c>
      <c r="B2" s="18" t="inlineStr">
        <is>
          <t>Module Name</t>
        </is>
      </c>
      <c r="C2" s="18" t="inlineStr">
        <is>
          <t>Portal</t>
        </is>
      </c>
      <c r="D2" s="18" t="inlineStr">
        <is>
          <t>Description</t>
        </is>
      </c>
      <c r="E2" s="18" t="inlineStr">
        <is>
          <t>Owner</t>
        </is>
      </c>
      <c r="F2" s="18" t="inlineStr">
        <is>
          <t>QA Owner</t>
        </is>
      </c>
      <c r="G2" s="18" t="inlineStr">
        <is>
          <t>Priority</t>
        </is>
      </c>
      <c r="H2" s="18" t="inlineStr">
        <is>
          <t>Status</t>
        </is>
      </c>
      <c r="I2" s="18" t="inlineStr">
        <is>
          <t>Total Features</t>
        </is>
      </c>
      <c r="J2" s="18" t="inlineStr">
        <is>
          <t>Completed Features</t>
        </is>
      </c>
      <c r="K2" s="18" t="inlineStr">
        <is>
          <t>Pending Features</t>
        </is>
      </c>
      <c r="L2" s="18" t="inlineStr">
        <is>
          <t>Est Hours</t>
        </is>
      </c>
      <c r="M2" s="18" t="inlineStr">
        <is>
          <t>Actual Hours</t>
        </is>
      </c>
      <c r="N2" s="18" t="inlineStr">
        <is>
          <t>Criticality</t>
        </is>
      </c>
      <c r="O2" s="18" t="inlineStr">
        <is>
          <t>Dependencies</t>
        </is>
      </c>
      <c r="P2" s="18" t="inlineStr">
        <is>
          <t>Remarks</t>
        </is>
      </c>
    </row>
    <row r="3">
      <c r="A3" s="19" t="inlineStr">
        <is>
          <t>MOD-01</t>
        </is>
      </c>
      <c r="B3" s="19" t="inlineStr">
        <is>
          <t>Auth &amp; Onboarding</t>
        </is>
      </c>
      <c r="C3" s="19" t="inlineStr">
        <is>
          <t>Auth Portal</t>
        </is>
      </c>
      <c r="D3" s="19" t="inlineStr">
        <is>
          <t>Email/OAuth login, MFA, 5-step onboarding</t>
        </is>
      </c>
      <c r="E3" s="19" t="inlineStr">
        <is>
          <t>Auth Lead</t>
        </is>
      </c>
      <c r="F3" s="19" t="inlineStr">
        <is>
          <t>Asha Sharma</t>
        </is>
      </c>
      <c r="G3" s="19" t="inlineStr">
        <is>
          <t>Critical</t>
        </is>
      </c>
      <c r="H3" s="19" t="inlineStr">
        <is>
          <t>In Progress</t>
        </is>
      </c>
      <c r="I3" s="19" t="n">
        <v>7</v>
      </c>
      <c r="J3" s="19" t="n">
        <v>6</v>
      </c>
      <c r="K3" s="19" t="n">
        <v>1</v>
      </c>
      <c r="L3" s="19" t="n">
        <v>17.5</v>
      </c>
      <c r="M3" s="19" t="n">
        <v>13.2</v>
      </c>
      <c r="N3" s="19" t="inlineStr">
        <is>
          <t>Critical</t>
        </is>
      </c>
      <c r="O3" s="19" t="inlineStr">
        <is>
          <t>—</t>
        </is>
      </c>
      <c r="P3" s="19" t="inlineStr">
        <is>
          <t>Seeded from audit 28 Jul 2026</t>
        </is>
      </c>
    </row>
    <row r="4">
      <c r="A4" s="20" t="inlineStr">
        <is>
          <t>MOD-02</t>
        </is>
      </c>
      <c r="B4" s="20" t="inlineStr">
        <is>
          <t>Dashboard</t>
        </is>
      </c>
      <c r="C4" s="20" t="inlineStr">
        <is>
          <t>Candidate App</t>
        </is>
      </c>
      <c r="D4" s="20" t="inlineStr">
        <is>
          <t>Home KPIs, sessions, credits, upcoming interviews</t>
        </is>
      </c>
      <c r="E4" s="20" t="inlineStr">
        <is>
          <t>Product</t>
        </is>
      </c>
      <c r="F4" s="20" t="inlineStr">
        <is>
          <t>Rohan Mehta</t>
        </is>
      </c>
      <c r="G4" s="20" t="inlineStr">
        <is>
          <t>High</t>
        </is>
      </c>
      <c r="H4" s="20" t="inlineStr">
        <is>
          <t>Completed</t>
        </is>
      </c>
      <c r="I4" s="20" t="n">
        <v>5</v>
      </c>
      <c r="J4" s="20" t="n">
        <v>5</v>
      </c>
      <c r="K4" s="20" t="n">
        <v>0</v>
      </c>
      <c r="L4" s="20" t="n">
        <v>12.5</v>
      </c>
      <c r="M4" s="20" t="n">
        <v>11</v>
      </c>
      <c r="N4" s="20" t="inlineStr">
        <is>
          <t>High</t>
        </is>
      </c>
      <c r="O4" s="20" t="inlineStr">
        <is>
          <t>—</t>
        </is>
      </c>
      <c r="P4" s="20" t="inlineStr">
        <is>
          <t>Seeded from audit 28 Jul 2026</t>
        </is>
      </c>
    </row>
    <row r="5">
      <c r="A5" s="19" t="inlineStr">
        <is>
          <t>MOD-03</t>
        </is>
      </c>
      <c r="B5" s="19" t="inlineStr">
        <is>
          <t>Live Practice Coach</t>
        </is>
      </c>
      <c r="C5" s="19" t="inlineStr">
        <is>
          <t>Candidate App</t>
        </is>
      </c>
      <c r="D5" s="19" t="inlineStr">
        <is>
          <t>Deepgram STT + AI hints/answers + overlay</t>
        </is>
      </c>
      <c r="E5" s="19" t="inlineStr">
        <is>
          <t>Live Coach</t>
        </is>
      </c>
      <c r="F5" s="19" t="inlineStr">
        <is>
          <t>Priya Nair</t>
        </is>
      </c>
      <c r="G5" s="19" t="inlineStr">
        <is>
          <t>Critical</t>
        </is>
      </c>
      <c r="H5" s="19" t="inlineStr">
        <is>
          <t>Completed</t>
        </is>
      </c>
      <c r="I5" s="19" t="n">
        <v>9</v>
      </c>
      <c r="J5" s="19" t="n">
        <v>8</v>
      </c>
      <c r="K5" s="19" t="n">
        <v>1</v>
      </c>
      <c r="L5" s="19" t="n">
        <v>22.5</v>
      </c>
      <c r="M5" s="19" t="n">
        <v>17.6</v>
      </c>
      <c r="N5" s="19" t="inlineStr">
        <is>
          <t>Critical</t>
        </is>
      </c>
      <c r="O5" s="19" t="inlineStr">
        <is>
          <t>Auth, Billing credits, Deepgram</t>
        </is>
      </c>
      <c r="P5" s="19" t="inlineStr">
        <is>
          <t>Seeded from audit 28 Jul 2026</t>
        </is>
      </c>
    </row>
    <row r="6">
      <c r="A6" s="20" t="inlineStr">
        <is>
          <t>MOD-04</t>
        </is>
      </c>
      <c r="B6" s="20" t="inlineStr">
        <is>
          <t>Mock Interview</t>
        </is>
      </c>
      <c r="C6" s="20" t="inlineStr">
        <is>
          <t>Candidate App</t>
        </is>
      </c>
      <c r="D6" s="20" t="inlineStr">
        <is>
          <t>Timed mock sessions with AI scoring</t>
        </is>
      </c>
      <c r="E6" s="20" t="inlineStr">
        <is>
          <t>Live Coach</t>
        </is>
      </c>
      <c r="F6" s="20" t="inlineStr">
        <is>
          <t>Priya Nair</t>
        </is>
      </c>
      <c r="G6" s="20" t="inlineStr">
        <is>
          <t>High</t>
        </is>
      </c>
      <c r="H6" s="20" t="inlineStr">
        <is>
          <t>In Progress</t>
        </is>
      </c>
      <c r="I6" s="20" t="n">
        <v>3</v>
      </c>
      <c r="J6" s="20" t="n">
        <v>1</v>
      </c>
      <c r="K6" s="20" t="n">
        <v>2</v>
      </c>
      <c r="L6" s="20" t="n">
        <v>7.5</v>
      </c>
      <c r="M6" s="20" t="n">
        <v>2.2</v>
      </c>
      <c r="N6" s="20" t="inlineStr">
        <is>
          <t>High</t>
        </is>
      </c>
      <c r="O6" s="20" t="inlineStr">
        <is>
          <t>Sessions, Credits</t>
        </is>
      </c>
      <c r="P6" s="20" t="inlineStr">
        <is>
          <t>Seeded from audit 28 Jul 2026</t>
        </is>
      </c>
    </row>
    <row r="7">
      <c r="A7" s="19" t="inlineStr">
        <is>
          <t>MOD-05</t>
        </is>
      </c>
      <c r="B7" s="19" t="inlineStr">
        <is>
          <t>Sessions &amp; Debriefs</t>
        </is>
      </c>
      <c r="C7" s="19" t="inlineStr">
        <is>
          <t>Candidate App</t>
        </is>
      </c>
      <c r="D7" s="19" t="inlineStr">
        <is>
          <t>History, detail, AI debrief, scorecard share</t>
        </is>
      </c>
      <c r="E7" s="19" t="inlineStr">
        <is>
          <t>Sessions</t>
        </is>
      </c>
      <c r="F7" s="19" t="inlineStr">
        <is>
          <t>Priya Nair</t>
        </is>
      </c>
      <c r="G7" s="19" t="inlineStr">
        <is>
          <t>High</t>
        </is>
      </c>
      <c r="H7" s="19" t="inlineStr">
        <is>
          <t>Completed</t>
        </is>
      </c>
      <c r="I7" s="19" t="n">
        <v>5</v>
      </c>
      <c r="J7" s="19" t="n">
        <v>5</v>
      </c>
      <c r="K7" s="19" t="n">
        <v>0</v>
      </c>
      <c r="L7" s="19" t="n">
        <v>12.5</v>
      </c>
      <c r="M7" s="19" t="n">
        <v>11</v>
      </c>
      <c r="N7" s="19" t="inlineStr">
        <is>
          <t>High</t>
        </is>
      </c>
      <c r="O7" s="19" t="inlineStr">
        <is>
          <t>—</t>
        </is>
      </c>
      <c r="P7" s="19" t="inlineStr">
        <is>
          <t>Seeded from audit 28 Jul 2026</t>
        </is>
      </c>
    </row>
    <row r="8">
      <c r="A8" s="20" t="inlineStr">
        <is>
          <t>MOD-06</t>
        </is>
      </c>
      <c r="B8" s="20" t="inlineStr">
        <is>
          <t>Analytics &amp; Usage</t>
        </is>
      </c>
      <c r="C8" s="20" t="inlineStr">
        <is>
          <t>Candidate App</t>
        </is>
      </c>
      <c r="D8" s="20" t="inlineStr">
        <is>
          <t>Trends, WPM, fillers, credit usage</t>
        </is>
      </c>
      <c r="E8" s="20" t="inlineStr">
        <is>
          <t>Analytics</t>
        </is>
      </c>
      <c r="F8" s="20" t="inlineStr">
        <is>
          <t>Rohan Mehta</t>
        </is>
      </c>
      <c r="G8" s="20" t="inlineStr">
        <is>
          <t>Medium</t>
        </is>
      </c>
      <c r="H8" s="20" t="inlineStr">
        <is>
          <t>Completed</t>
        </is>
      </c>
      <c r="I8" s="20" t="n">
        <v>2</v>
      </c>
      <c r="J8" s="20" t="n">
        <v>2</v>
      </c>
      <c r="K8" s="20" t="n">
        <v>0</v>
      </c>
      <c r="L8" s="20" t="n">
        <v>5</v>
      </c>
      <c r="M8" s="20" t="n">
        <v>4.4</v>
      </c>
      <c r="N8" s="20" t="inlineStr">
        <is>
          <t>Medium</t>
        </is>
      </c>
      <c r="O8" s="20" t="inlineStr">
        <is>
          <t>—</t>
        </is>
      </c>
      <c r="P8" s="20" t="inlineStr">
        <is>
          <t>Seeded from audit 28 Jul 2026</t>
        </is>
      </c>
    </row>
    <row r="9">
      <c r="A9" s="19" t="inlineStr">
        <is>
          <t>MOD-07</t>
        </is>
      </c>
      <c r="B9" s="19" t="inlineStr">
        <is>
          <t>Prep Lab</t>
        </is>
      </c>
      <c r="C9" s="19" t="inlineStr">
        <is>
          <t>Candidate App</t>
        </is>
      </c>
      <c r="D9" s="19" t="inlineStr">
        <is>
          <t>STAR, rephraser, polish, company Qs</t>
        </is>
      </c>
      <c r="E9" s="19" t="inlineStr">
        <is>
          <t>Prep</t>
        </is>
      </c>
      <c r="F9" s="19" t="inlineStr">
        <is>
          <t>Asha Sharma</t>
        </is>
      </c>
      <c r="G9" s="19" t="inlineStr">
        <is>
          <t>High</t>
        </is>
      </c>
      <c r="H9" s="19" t="inlineStr">
        <is>
          <t>Completed</t>
        </is>
      </c>
      <c r="I9" s="19" t="n">
        <v>7</v>
      </c>
      <c r="J9" s="19" t="n">
        <v>7</v>
      </c>
      <c r="K9" s="19" t="n">
        <v>0</v>
      </c>
      <c r="L9" s="19" t="n">
        <v>17.5</v>
      </c>
      <c r="M9" s="19" t="n">
        <v>15.4</v>
      </c>
      <c r="N9" s="19" t="inlineStr">
        <is>
          <t>High</t>
        </is>
      </c>
      <c r="O9" s="19" t="inlineStr">
        <is>
          <t>—</t>
        </is>
      </c>
      <c r="P9" s="19" t="inlineStr">
        <is>
          <t>Seeded from audit 28 Jul 2026</t>
        </is>
      </c>
    </row>
    <row r="10">
      <c r="A10" s="20" t="inlineStr">
        <is>
          <t>MOD-08</t>
        </is>
      </c>
      <c r="B10" s="20" t="inlineStr">
        <is>
          <t>Documents &amp; Resumes</t>
        </is>
      </c>
      <c r="C10" s="20" t="inlineStr">
        <is>
          <t>Candidate App</t>
        </is>
      </c>
      <c r="D10" s="20" t="inlineStr">
        <is>
          <t>Upload, parse-resume, gap analysis, OCR</t>
        </is>
      </c>
      <c r="E10" s="20" t="inlineStr">
        <is>
          <t>Docs</t>
        </is>
      </c>
      <c r="F10" s="20" t="inlineStr">
        <is>
          <t>Priya Nair</t>
        </is>
      </c>
      <c r="G10" s="20" t="inlineStr">
        <is>
          <t>High</t>
        </is>
      </c>
      <c r="H10" s="20" t="inlineStr">
        <is>
          <t>Completed</t>
        </is>
      </c>
      <c r="I10" s="20" t="n">
        <v>5</v>
      </c>
      <c r="J10" s="20" t="n">
        <v>5</v>
      </c>
      <c r="K10" s="20" t="n">
        <v>0</v>
      </c>
      <c r="L10" s="20" t="n">
        <v>12.5</v>
      </c>
      <c r="M10" s="20" t="n">
        <v>11</v>
      </c>
      <c r="N10" s="20" t="inlineStr">
        <is>
          <t>High</t>
        </is>
      </c>
      <c r="O10" s="20" t="inlineStr">
        <is>
          <t>Credits (parse-resume)</t>
        </is>
      </c>
      <c r="P10" s="20" t="inlineStr">
        <is>
          <t>Seeded from audit 28 Jul 2026</t>
        </is>
      </c>
    </row>
    <row r="11">
      <c r="A11" s="19" t="inlineStr">
        <is>
          <t>MOD-09</t>
        </is>
      </c>
      <c r="B11" s="19" t="inlineStr">
        <is>
          <t>Answer Bank</t>
        </is>
      </c>
      <c r="C11" s="19" t="inlineStr">
        <is>
          <t>Candidate App</t>
        </is>
      </c>
      <c r="D11" s="19" t="inlineStr">
        <is>
          <t>STAR library + AI generate via prep-tool</t>
        </is>
      </c>
      <c r="E11" s="19" t="inlineStr">
        <is>
          <t>Prep</t>
        </is>
      </c>
      <c r="F11" s="19" t="inlineStr">
        <is>
          <t>Asha Sharma</t>
        </is>
      </c>
      <c r="G11" s="19" t="inlineStr">
        <is>
          <t>Medium</t>
        </is>
      </c>
      <c r="H11" s="19" t="inlineStr">
        <is>
          <t>In Progress</t>
        </is>
      </c>
      <c r="I11" s="19" t="n">
        <v>2</v>
      </c>
      <c r="J11" s="19" t="n">
        <v>2</v>
      </c>
      <c r="K11" s="19" t="n">
        <v>0</v>
      </c>
      <c r="L11" s="19" t="n">
        <v>5</v>
      </c>
      <c r="M11" s="19" t="n">
        <v>4.4</v>
      </c>
      <c r="N11" s="19" t="inlineStr">
        <is>
          <t>Medium</t>
        </is>
      </c>
      <c r="O11" s="19" t="inlineStr">
        <is>
          <t>—</t>
        </is>
      </c>
      <c r="P11" s="19" t="inlineStr">
        <is>
          <t>Seeded from audit 28 Jul 2026</t>
        </is>
      </c>
    </row>
    <row r="12">
      <c r="A12" s="20" t="inlineStr">
        <is>
          <t>MOD-10</t>
        </is>
      </c>
      <c r="B12" s="20" t="inlineStr">
        <is>
          <t>Interviews &amp; Calendar</t>
        </is>
      </c>
      <c r="C12" s="20" t="inlineStr">
        <is>
          <t>Candidate App</t>
        </is>
      </c>
      <c r="D12" s="20" t="inlineStr">
        <is>
          <t>Manual interviews + Google Calendar sync</t>
        </is>
      </c>
      <c r="E12" s="20" t="inlineStr">
        <is>
          <t>Scheduling</t>
        </is>
      </c>
      <c r="F12" s="20" t="inlineStr">
        <is>
          <t>Rohan Mehta</t>
        </is>
      </c>
      <c r="G12" s="20" t="inlineStr">
        <is>
          <t>High</t>
        </is>
      </c>
      <c r="H12" s="20" t="inlineStr">
        <is>
          <t>In Progress</t>
        </is>
      </c>
      <c r="I12" s="20" t="n">
        <v>6</v>
      </c>
      <c r="J12" s="20" t="n">
        <v>4</v>
      </c>
      <c r="K12" s="20" t="n">
        <v>2</v>
      </c>
      <c r="L12" s="20" t="n">
        <v>15</v>
      </c>
      <c r="M12" s="20" t="n">
        <v>8.800000000000001</v>
      </c>
      <c r="N12" s="20" t="inlineStr">
        <is>
          <t>High</t>
        </is>
      </c>
      <c r="O12" s="20" t="inlineStr">
        <is>
          <t>—</t>
        </is>
      </c>
      <c r="P12" s="20" t="inlineStr">
        <is>
          <t>Seeded from audit 28 Jul 2026</t>
        </is>
      </c>
    </row>
    <row r="13">
      <c r="A13" s="19" t="inlineStr">
        <is>
          <t>MOD-11</t>
        </is>
      </c>
      <c r="B13" s="19" t="inlineStr">
        <is>
          <t>Company Research</t>
        </is>
      </c>
      <c r="C13" s="19" t="inlineStr">
        <is>
          <t>Candidate App</t>
        </is>
      </c>
      <c r="D13" s="19" t="inlineStr">
        <is>
          <t>AI company brief + per-user cache</t>
        </is>
      </c>
      <c r="E13" s="19" t="inlineStr">
        <is>
          <t>Prep</t>
        </is>
      </c>
      <c r="F13" s="19" t="inlineStr">
        <is>
          <t>Asha Sharma</t>
        </is>
      </c>
      <c r="G13" s="19" t="inlineStr">
        <is>
          <t>Medium</t>
        </is>
      </c>
      <c r="H13" s="19" t="inlineStr">
        <is>
          <t>Completed</t>
        </is>
      </c>
      <c r="I13" s="19" t="n">
        <v>1</v>
      </c>
      <c r="J13" s="19" t="n">
        <v>1</v>
      </c>
      <c r="K13" s="19" t="n">
        <v>0</v>
      </c>
      <c r="L13" s="19" t="n">
        <v>2.5</v>
      </c>
      <c r="M13" s="19" t="n">
        <v>2.2</v>
      </c>
      <c r="N13" s="19" t="inlineStr">
        <is>
          <t>Medium</t>
        </is>
      </c>
      <c r="O13" s="19" t="inlineStr">
        <is>
          <t>—</t>
        </is>
      </c>
      <c r="P13" s="19" t="inlineStr">
        <is>
          <t>Seeded from audit 28 Jul 2026</t>
        </is>
      </c>
    </row>
    <row r="14">
      <c r="A14" s="20" t="inlineStr">
        <is>
          <t>MOD-12</t>
        </is>
      </c>
      <c r="B14" s="20" t="inlineStr">
        <is>
          <t>Notifications &amp; Profile</t>
        </is>
      </c>
      <c r="C14" s="20" t="inlineStr">
        <is>
          <t>Candidate App</t>
        </is>
      </c>
      <c r="D14" s="20" t="inlineStr">
        <is>
          <t>Realtime notifications, XP/streak/badges</t>
        </is>
      </c>
      <c r="E14" s="20" t="inlineStr">
        <is>
          <t>Growth</t>
        </is>
      </c>
      <c r="F14" s="20" t="inlineStr">
        <is>
          <t>Rohan Mehta</t>
        </is>
      </c>
      <c r="G14" s="20" t="inlineStr">
        <is>
          <t>Medium</t>
        </is>
      </c>
      <c r="H14" s="20" t="inlineStr">
        <is>
          <t>In Progress</t>
        </is>
      </c>
      <c r="I14" s="20" t="n">
        <v>5</v>
      </c>
      <c r="J14" s="20" t="n">
        <v>4</v>
      </c>
      <c r="K14" s="20" t="n">
        <v>1</v>
      </c>
      <c r="L14" s="20" t="n">
        <v>12.5</v>
      </c>
      <c r="M14" s="20" t="n">
        <v>8.800000000000001</v>
      </c>
      <c r="N14" s="20" t="inlineStr">
        <is>
          <t>Medium</t>
        </is>
      </c>
      <c r="O14" s="20" t="inlineStr">
        <is>
          <t>—</t>
        </is>
      </c>
      <c r="P14" s="20" t="inlineStr">
        <is>
          <t>Seeded from audit 28 Jul 2026</t>
        </is>
      </c>
    </row>
    <row r="15">
      <c r="A15" s="19" t="inlineStr">
        <is>
          <t>MOD-13</t>
        </is>
      </c>
      <c r="B15" s="19" t="inlineStr">
        <is>
          <t>Referrals &amp; Guide</t>
        </is>
      </c>
      <c r="C15" s="19" t="inlineStr">
        <is>
          <t>Candidate App</t>
        </is>
      </c>
      <c r="D15" s="19" t="inlineStr">
        <is>
          <t>Referral credits + in-app guide</t>
        </is>
      </c>
      <c r="E15" s="19" t="inlineStr">
        <is>
          <t>Growth</t>
        </is>
      </c>
      <c r="F15" s="19" t="inlineStr">
        <is>
          <t>Rohan Mehta</t>
        </is>
      </c>
      <c r="G15" s="19" t="inlineStr">
        <is>
          <t>Low</t>
        </is>
      </c>
      <c r="H15" s="19" t="inlineStr">
        <is>
          <t>Completed</t>
        </is>
      </c>
      <c r="I15" s="19" t="n">
        <v>2</v>
      </c>
      <c r="J15" s="19" t="n">
        <v>2</v>
      </c>
      <c r="K15" s="19" t="n">
        <v>0</v>
      </c>
      <c r="L15" s="19" t="n">
        <v>5</v>
      </c>
      <c r="M15" s="19" t="n">
        <v>4.4</v>
      </c>
      <c r="N15" s="19" t="inlineStr">
        <is>
          <t>Low</t>
        </is>
      </c>
      <c r="O15" s="19" t="inlineStr">
        <is>
          <t>—</t>
        </is>
      </c>
      <c r="P15" s="19" t="inlineStr">
        <is>
          <t>Seeded from audit 28 Jul 2026</t>
        </is>
      </c>
    </row>
    <row r="16">
      <c r="A16" s="20" t="inlineStr">
        <is>
          <t>MOD-14</t>
        </is>
      </c>
      <c r="B16" s="20" t="inlineStr">
        <is>
          <t>Gov Exam Mock Tests</t>
        </is>
      </c>
      <c r="C16" s="20" t="inlineStr">
        <is>
          <t>Candidate App</t>
        </is>
      </c>
      <c r="D16" s="20" t="inlineStr">
        <is>
          <t>India gov/competitive MCQ engine</t>
        </is>
      </c>
      <c r="E16" s="20" t="inlineStr">
        <is>
          <t>GovExams</t>
        </is>
      </c>
      <c r="F16" s="20" t="inlineStr">
        <is>
          <t>Rohan Mehta</t>
        </is>
      </c>
      <c r="G16" s="20" t="inlineStr">
        <is>
          <t>Critical</t>
        </is>
      </c>
      <c r="H16" s="20" t="inlineStr">
        <is>
          <t>In Progress</t>
        </is>
      </c>
      <c r="I16" s="20" t="n">
        <v>11</v>
      </c>
      <c r="J16" s="20" t="n">
        <v>8</v>
      </c>
      <c r="K16" s="20" t="n">
        <v>3</v>
      </c>
      <c r="L16" s="20" t="n">
        <v>27.5</v>
      </c>
      <c r="M16" s="20" t="n">
        <v>17.6</v>
      </c>
      <c r="N16" s="20" t="inlineStr">
        <is>
          <t>Critical</t>
        </is>
      </c>
      <c r="O16" s="20" t="inlineStr">
        <is>
          <t>Admin question bank</t>
        </is>
      </c>
      <c r="P16" s="20" t="inlineStr">
        <is>
          <t>Seeded from audit 28 Jul 2026</t>
        </is>
      </c>
    </row>
    <row r="17">
      <c r="A17" s="19" t="inlineStr">
        <is>
          <t>MOD-15</t>
        </is>
      </c>
      <c r="B17" s="19" t="inlineStr">
        <is>
          <t>Settings</t>
        </is>
      </c>
      <c r="C17" s="19" t="inlineStr">
        <is>
          <t>Candidate App</t>
        </is>
      </c>
      <c r="D17" s="19" t="inlineStr">
        <is>
          <t>Billing, audio, models, security, integrations</t>
        </is>
      </c>
      <c r="E17" s="19" t="inlineStr">
        <is>
          <t>Platform</t>
        </is>
      </c>
      <c r="F17" s="19" t="inlineStr">
        <is>
          <t>Asha Sharma</t>
        </is>
      </c>
      <c r="G17" s="19" t="inlineStr">
        <is>
          <t>High</t>
        </is>
      </c>
      <c r="H17" s="19" t="inlineStr">
        <is>
          <t>In Progress</t>
        </is>
      </c>
      <c r="I17" s="19" t="n">
        <v>9</v>
      </c>
      <c r="J17" s="19" t="n">
        <v>6</v>
      </c>
      <c r="K17" s="19" t="n">
        <v>3</v>
      </c>
      <c r="L17" s="19" t="n">
        <v>22.5</v>
      </c>
      <c r="M17" s="19" t="n">
        <v>13.2</v>
      </c>
      <c r="N17" s="19" t="inlineStr">
        <is>
          <t>High</t>
        </is>
      </c>
      <c r="O17" s="19" t="inlineStr">
        <is>
          <t>—</t>
        </is>
      </c>
      <c r="P17" s="19" t="inlineStr">
        <is>
          <t>Seeded from audit 28 Jul 2026</t>
        </is>
      </c>
    </row>
    <row r="18">
      <c r="A18" s="20" t="inlineStr">
        <is>
          <t>MOD-16</t>
        </is>
      </c>
      <c r="B18" s="20" t="inlineStr">
        <is>
          <t>Admin Portal</t>
        </is>
      </c>
      <c r="C18" s="20" t="inlineStr">
        <is>
          <t>Admin Portal</t>
        </is>
      </c>
      <c r="D18" s="20" t="inlineStr">
        <is>
          <t>Users, revenue, questions, flags, support</t>
        </is>
      </c>
      <c r="E18" s="20" t="inlineStr">
        <is>
          <t>Admin</t>
        </is>
      </c>
      <c r="F18" s="20" t="inlineStr">
        <is>
          <t>Rohan Mehta</t>
        </is>
      </c>
      <c r="G18" s="20" t="inlineStr">
        <is>
          <t>Critical</t>
        </is>
      </c>
      <c r="H18" s="20" t="inlineStr">
        <is>
          <t>In Progress</t>
        </is>
      </c>
      <c r="I18" s="20" t="n">
        <v>14</v>
      </c>
      <c r="J18" s="20" t="n">
        <v>13</v>
      </c>
      <c r="K18" s="20" t="n">
        <v>1</v>
      </c>
      <c r="L18" s="20" t="n">
        <v>35</v>
      </c>
      <c r="M18" s="20" t="n">
        <v>28.6</v>
      </c>
      <c r="N18" s="20" t="inlineStr">
        <is>
          <t>Critical</t>
        </is>
      </c>
      <c r="O18" s="20" t="inlineStr">
        <is>
          <t>RLS admin role</t>
        </is>
      </c>
      <c r="P18" s="20" t="inlineStr">
        <is>
          <t>Seeded from audit 28 Jul 2026</t>
        </is>
      </c>
    </row>
    <row r="19">
      <c r="A19" s="19" t="inlineStr">
        <is>
          <t>MOD-17</t>
        </is>
      </c>
      <c r="B19" s="19" t="inlineStr">
        <is>
          <t>Marketing Site</t>
        </is>
      </c>
      <c r="C19" s="19" t="inlineStr">
        <is>
          <t>Marketing Portal</t>
        </is>
      </c>
      <c r="D19" s="19" t="inlineStr">
        <is>
          <t>Landing, pricing, blog, help, legal</t>
        </is>
      </c>
      <c r="E19" s="19" t="inlineStr">
        <is>
          <t>Growth</t>
        </is>
      </c>
      <c r="F19" s="19" t="inlineStr">
        <is>
          <t>Kavya Iyer</t>
        </is>
      </c>
      <c r="G19" s="19" t="inlineStr">
        <is>
          <t>Medium</t>
        </is>
      </c>
      <c r="H19" s="19" t="inlineStr">
        <is>
          <t>Completed</t>
        </is>
      </c>
      <c r="I19" s="19" t="n">
        <v>2</v>
      </c>
      <c r="J19" s="19" t="n">
        <v>2</v>
      </c>
      <c r="K19" s="19" t="n">
        <v>0</v>
      </c>
      <c r="L19" s="19" t="n">
        <v>5</v>
      </c>
      <c r="M19" s="19" t="n">
        <v>4.4</v>
      </c>
      <c r="N19" s="19" t="inlineStr">
        <is>
          <t>Medium</t>
        </is>
      </c>
      <c r="O19" s="19" t="inlineStr">
        <is>
          <t>—</t>
        </is>
      </c>
      <c r="P19" s="19" t="inlineStr">
        <is>
          <t>Seeded from audit 28 Jul 2026</t>
        </is>
      </c>
    </row>
    <row r="20">
      <c r="A20" s="20" t="inlineStr">
        <is>
          <t>MOD-18</t>
        </is>
      </c>
      <c r="B20" s="20" t="inlineStr">
        <is>
          <t>Billing &amp; Credits</t>
        </is>
      </c>
      <c r="C20" s="20" t="inlineStr">
        <is>
          <t>Candidate App</t>
        </is>
      </c>
      <c r="D20" s="20" t="inlineStr">
        <is>
          <t>Stripe/Razorpay, packs, ledger, plan gates</t>
        </is>
      </c>
      <c r="E20" s="20" t="inlineStr">
        <is>
          <t>Billing</t>
        </is>
      </c>
      <c r="F20" s="20" t="inlineStr">
        <is>
          <t>Asha Sharma</t>
        </is>
      </c>
      <c r="G20" s="20" t="inlineStr">
        <is>
          <t>Critical</t>
        </is>
      </c>
      <c r="H20" s="20" t="inlineStr">
        <is>
          <t>Completed</t>
        </is>
      </c>
      <c r="I20" s="20" t="n">
        <v>6</v>
      </c>
      <c r="J20" s="20" t="n">
        <v>4</v>
      </c>
      <c r="K20" s="20" t="n">
        <v>2</v>
      </c>
      <c r="L20" s="20" t="n">
        <v>15</v>
      </c>
      <c r="M20" s="20" t="n">
        <v>8.800000000000001</v>
      </c>
      <c r="N20" s="20" t="inlineStr">
        <is>
          <t>Critical</t>
        </is>
      </c>
      <c r="O20" s="20" t="inlineStr">
        <is>
          <t>Stripe/Razorpay secrets</t>
        </is>
      </c>
      <c r="P20" s="20" t="inlineStr">
        <is>
          <t>Seeded from audit 28 Jul 2026</t>
        </is>
      </c>
    </row>
    <row r="21">
      <c r="A21" s="19" t="inlineStr">
        <is>
          <t>MOD-19</t>
        </is>
      </c>
      <c r="B21" s="19" t="inlineStr">
        <is>
          <t>Electron Desktop Overlay</t>
        </is>
      </c>
      <c r="C21" s="19" t="inlineStr">
        <is>
          <t>Electron Overlay</t>
        </is>
      </c>
      <c r="D21" s="19" t="inlineStr">
        <is>
          <t>Always-on-top overlay, hotkeys, window state</t>
        </is>
      </c>
      <c r="E21" s="19" t="inlineStr">
        <is>
          <t>Desktop</t>
        </is>
      </c>
      <c r="F21" s="19" t="inlineStr">
        <is>
          <t>Dev Patel</t>
        </is>
      </c>
      <c r="G21" s="19" t="inlineStr">
        <is>
          <t>Critical</t>
        </is>
      </c>
      <c r="H21" s="19" t="inlineStr">
        <is>
          <t>In Progress</t>
        </is>
      </c>
      <c r="I21" s="19" t="n">
        <v>5</v>
      </c>
      <c r="J21" s="19" t="n">
        <v>2</v>
      </c>
      <c r="K21" s="19" t="n">
        <v>3</v>
      </c>
      <c r="L21" s="19" t="n">
        <v>12.5</v>
      </c>
      <c r="M21" s="19" t="n">
        <v>4.4</v>
      </c>
      <c r="N21" s="19" t="inlineStr">
        <is>
          <t>Critical</t>
        </is>
      </c>
      <c r="O21" s="19" t="inlineStr">
        <is>
          <t>Live Practice Coach</t>
        </is>
      </c>
      <c r="P21" s="19" t="inlineStr">
        <is>
          <t>Seeded from audit 28 Jul 2026</t>
        </is>
      </c>
    </row>
    <row r="22">
      <c r="A22" s="20" t="inlineStr">
        <is>
          <t>MOD-20</t>
        </is>
      </c>
      <c r="B22" s="20" t="inlineStr">
        <is>
          <t>Security &amp; Platform</t>
        </is>
      </c>
      <c r="C22" s="20" t="inlineStr">
        <is>
          <t>All Portals</t>
        </is>
      </c>
      <c r="D22" s="20" t="inlineStr">
        <is>
          <t>RLS, webhooks, rate limits, CI, observability</t>
        </is>
      </c>
      <c r="E22" s="20" t="inlineStr">
        <is>
          <t>Platform</t>
        </is>
      </c>
      <c r="F22" s="20" t="inlineStr">
        <is>
          <t>Dev Patel</t>
        </is>
      </c>
      <c r="G22" s="20" t="inlineStr">
        <is>
          <t>Critical</t>
        </is>
      </c>
      <c r="H22" s="20" t="inlineStr">
        <is>
          <t>In Progress</t>
        </is>
      </c>
      <c r="I22" s="20" t="n">
        <v>8</v>
      </c>
      <c r="J22" s="20" t="n">
        <v>4</v>
      </c>
      <c r="K22" s="20" t="n">
        <v>4</v>
      </c>
      <c r="L22" s="20" t="n">
        <v>20</v>
      </c>
      <c r="M22" s="20" t="n">
        <v>8.800000000000001</v>
      </c>
      <c r="N22" s="20" t="inlineStr">
        <is>
          <t>Critical</t>
        </is>
      </c>
      <c r="O22" s="20" t="inlineStr">
        <is>
          <t>—</t>
        </is>
      </c>
      <c r="P22" s="20" t="inlineStr">
        <is>
          <t>Seeded from audit 28 Jul 2026</t>
        </is>
      </c>
    </row>
    <row r="23">
      <c r="A23" s="21" t="inlineStr">
        <is>
          <t>TOTAL</t>
        </is>
      </c>
      <c r="B23" s="19" t="n"/>
      <c r="C23" s="19" t="n"/>
      <c r="D23" s="19" t="n"/>
      <c r="E23" s="19" t="n"/>
      <c r="F23" s="19" t="n"/>
      <c r="G23" s="19" t="n"/>
      <c r="H23" s="19" t="n"/>
      <c r="I23" s="21">
        <f>SUM(I3:I22)</f>
        <v/>
      </c>
      <c r="J23" s="21">
        <f>SUM(J3:J22)</f>
        <v/>
      </c>
      <c r="K23" s="21">
        <f>SUM(K3:K22)</f>
        <v/>
      </c>
      <c r="L23" s="21">
        <f>SUM(L3:L22)</f>
        <v/>
      </c>
      <c r="M23" s="21">
        <f>SUM(M3:M22)</f>
        <v/>
      </c>
      <c r="N23" s="19" t="n"/>
      <c r="O23" s="19" t="n"/>
      <c r="P23" s="19" t="n"/>
    </row>
  </sheetData>
  <autoFilter ref="A2:P23"/>
  <mergeCells count="1">
    <mergeCell ref="A1:H1"/>
  </mergeCells>
  <conditionalFormatting sqref="G3:G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N3:N500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conditionalFormatting sqref="H3:H500">
    <cfRule type="cellIs" priority="9" operator="equal" dxfId="4">
      <formula>"Pass"</formula>
    </cfRule>
    <cfRule type="cellIs" priority="10" operator="equal" dxfId="4">
      <formula>"PASS"</formula>
    </cfRule>
    <cfRule type="cellIs" priority="11" operator="equal" dxfId="4">
      <formula>"Yes"</formula>
    </cfRule>
    <cfRule type="cellIs" priority="12" operator="equal" dxfId="5">
      <formula>"Fail"</formula>
    </cfRule>
    <cfRule type="cellIs" priority="13" operator="equal" dxfId="5">
      <formula>"FAIL"</formula>
    </cfRule>
    <cfRule type="cellIs" priority="14" operator="equal" dxfId="5">
      <formula>"No"</formula>
    </cfRule>
    <cfRule type="cellIs" priority="15" operator="equal" dxfId="6">
      <formula>"In Progress"</formula>
    </cfRule>
    <cfRule type="cellIs" priority="16" operator="equal" dxfId="6">
      <formula>"Blocked"</formula>
    </cfRule>
    <cfRule type="cellIs" priority="17" operator="equal" dxfId="6">
      <formula>"Partial"</formula>
    </cfRule>
    <cfRule type="cellIs" priority="18" operator="equal" dxfId="7">
      <formula>"Not Started"</formula>
    </cfRule>
    <cfRule type="cellIs" priority="19" operator="equal" dxfId="7">
      <formula>"Not Run"</formula>
    </cfRule>
    <cfRule type="cellIs" priority="20" operator="equal" dxfId="7">
      <formula>"Not Tested"</formula>
    </cfRule>
    <cfRule type="cellIs" priority="21" operator="equal" dxfId="7">
      <formula>"N/A"</formula>
    </cfRule>
    <cfRule type="cellIs" priority="22" operator="equal" dxfId="8">
      <formula>"Completed"</formula>
    </cfRule>
    <cfRule type="cellIs" priority="23" operator="equal" dxfId="8">
      <formula>"Complete"</formula>
    </cfRule>
    <cfRule type="cellIs" priority="24" operator="equal" dxfId="8">
      <formula>"Passed"</formula>
    </cfRule>
    <cfRule type="cellIs" priority="25" operator="equal" dxfId="8">
      <formula>"Ready"</formula>
    </cfRule>
  </conditionalFormatting>
  <dataValidations count="6">
    <dataValidation sqref="C3:C5000" showDropDown="0" showInputMessage="0" showErrorMessage="0" allowBlank="1" errorTitle="Invalid" error="Pick a value from the list" type="list">
      <formula1>Lists!$AA$2:$AA$7</formula1>
    </dataValidation>
    <dataValidation sqref="E3:E5000" showDropDown="0" showInputMessage="0" showErrorMessage="0" allowBlank="1" errorTitle="Invalid" error="Pick a value from the list" type="list">
      <formula1>Lists!$AD$2:$AD$17</formula1>
    </dataValidation>
    <dataValidation sqref="F3:F5000" showDropDown="0" showInputMessage="0" showErrorMessage="0" allowBlank="1" errorTitle="Invalid" error="Pick a value from the list" type="list">
      <formula1>Lists!$AC$2:$AC$6</formula1>
    </dataValidation>
    <dataValidation sqref="G3:G5000" showDropDown="0" showInputMessage="0" showErrorMessage="0" allowBlank="1" errorTitle="Invalid" error="Pick a value from the list" type="list">
      <formula1>Lists!$C$2:$C$5</formula1>
    </dataValidation>
    <dataValidation sqref="H3:H5000" showDropDown="0" showInputMessage="0" showErrorMessage="0" allowBlank="1" errorTitle="Invalid" error="Pick a value from the list" type="list">
      <formula1>Lists!$AG$2:$AG$6</formula1>
    </dataValidation>
    <dataValidation sqref="N3:N5000" showDropDown="0" showInputMessage="0" showErrorMessage="0" allowBlank="1" errorTitle="Invalid" error="Pick a value from the list" type="list">
      <formula1>Lists!$M$2:$M$5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29" customWidth="1" min="3" max="3"/>
    <col width="36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  <col width="13" customWidth="1" min="10" max="10"/>
    <col width="23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2" customWidth="1" min="17" max="17"/>
    <col width="14" customWidth="1" min="18" max="18"/>
    <col width="35" customWidth="1" min="19" max="19"/>
    <col width="18" customWidth="1" min="20" max="20"/>
    <col width="36" customWidth="1" min="21" max="21"/>
    <col width="36" customWidth="1" min="22" max="22"/>
    <col width="15" customWidth="1" min="23" max="23"/>
    <col width="24" customWidth="1" min="24" max="24"/>
    <col width="15" customWidth="1" min="25" max="25"/>
  </cols>
  <sheetData>
    <row r="1">
      <c r="A1" s="1" t="inlineStr">
        <is>
          <t>Feature Inventory — full Clarify AI catalogue (114 features)</t>
        </is>
      </c>
    </row>
    <row r="2">
      <c r="A2" s="18" t="inlineStr">
        <is>
          <t>Feature ID</t>
        </is>
      </c>
      <c r="B2" s="18" t="inlineStr">
        <is>
          <t>Module</t>
        </is>
      </c>
      <c r="C2" s="18" t="inlineStr">
        <is>
          <t>Feature Name</t>
        </is>
      </c>
      <c r="D2" s="18" t="inlineStr">
        <is>
          <t>Description</t>
        </is>
      </c>
      <c r="E2" s="18" t="inlineStr">
        <is>
          <t>Frontend</t>
        </is>
      </c>
      <c r="F2" s="18" t="inlineStr">
        <is>
          <t>Backend</t>
        </is>
      </c>
      <c r="G2" s="18" t="inlineStr">
        <is>
          <t>Database</t>
        </is>
      </c>
      <c r="H2" s="18" t="inlineStr">
        <is>
          <t>API</t>
        </is>
      </c>
      <c r="I2" s="18" t="inlineStr">
        <is>
          <t>Edge Function</t>
        </is>
      </c>
      <c r="J2" s="18" t="inlineStr">
        <is>
          <t>Status</t>
        </is>
      </c>
      <c r="K2" s="18" t="inlineStr">
        <is>
          <t>Implementation Status</t>
        </is>
      </c>
      <c r="L2" s="18" t="inlineStr">
        <is>
          <t>QA Status</t>
        </is>
      </c>
      <c r="M2" s="18" t="inlineStr">
        <is>
          <t>Priority</t>
        </is>
      </c>
      <c r="N2" s="18" t="inlineStr">
        <is>
          <t>Risk</t>
        </is>
      </c>
      <c r="O2" s="18" t="inlineStr">
        <is>
          <t>Owner</t>
        </is>
      </c>
      <c r="P2" s="18" t="inlineStr">
        <is>
          <t>QA Owner</t>
        </is>
      </c>
      <c r="Q2" s="18" t="inlineStr">
        <is>
          <t>Est Hours</t>
        </is>
      </c>
      <c r="R2" s="18" t="inlineStr">
        <is>
          <t>Actual Hours</t>
        </is>
      </c>
      <c r="S2" s="18" t="inlineStr">
        <is>
          <t>Comments</t>
        </is>
      </c>
      <c r="T2" s="18" t="inlineStr">
        <is>
          <t>Route</t>
        </is>
      </c>
      <c r="U2" s="18" t="inlineStr">
        <is>
          <t>Deep Link</t>
        </is>
      </c>
      <c r="V2" s="18" t="inlineStr">
        <is>
          <t>How it works</t>
        </is>
      </c>
      <c r="W2" s="18" t="inlineStr">
        <is>
          <t>Role required</t>
        </is>
      </c>
      <c r="X2" s="18" t="inlineStr">
        <is>
          <t>Credit cost</t>
        </is>
      </c>
      <c r="Y2" s="18" t="inlineStr">
        <is>
          <t>Blocking bugs</t>
        </is>
      </c>
    </row>
    <row r="3">
      <c r="A3" s="19" t="inlineStr">
        <is>
          <t>FEAT-001</t>
        </is>
      </c>
      <c r="B3" s="19" t="inlineStr">
        <is>
          <t>Auth &amp; Onboarding</t>
        </is>
      </c>
      <c r="C3" s="19" t="inlineStr">
        <is>
          <t>Email/password auth</t>
        </is>
      </c>
      <c r="D3" s="19" t="inlineStr">
        <is>
          <t>Signup/login with password</t>
        </is>
      </c>
      <c r="E3" s="19" t="inlineStr">
        <is>
          <t>Yes</t>
        </is>
      </c>
      <c r="F3" s="19" t="inlineStr">
        <is>
          <t>Yes</t>
        </is>
      </c>
      <c r="G3" s="19" t="inlineStr">
        <is>
          <t>Yes</t>
        </is>
      </c>
      <c r="H3" s="19" t="inlineStr">
        <is>
          <t>Yes</t>
        </is>
      </c>
      <c r="I3" s="19" t="inlineStr">
        <is>
          <t>N/A</t>
        </is>
      </c>
      <c r="J3" s="19" t="inlineStr">
        <is>
          <t>Completed</t>
        </is>
      </c>
      <c r="K3" s="19" t="inlineStr">
        <is>
          <t>Fully Implemented</t>
        </is>
      </c>
      <c r="L3" s="19" t="inlineStr">
        <is>
          <t>Passed</t>
        </is>
      </c>
      <c r="M3" s="19" t="inlineStr">
        <is>
          <t>Critical</t>
        </is>
      </c>
      <c r="N3" s="19" t="inlineStr">
        <is>
          <t>High</t>
        </is>
      </c>
      <c r="O3" s="19" t="inlineStr">
        <is>
          <t>Auth Lead</t>
        </is>
      </c>
      <c r="P3" s="19" t="inlineStr">
        <is>
          <t>Asha Sharma</t>
        </is>
      </c>
      <c r="Q3" s="19" t="n">
        <v>2</v>
      </c>
      <c r="R3" s="19" t="n">
        <v>1.5</v>
      </c>
      <c r="S3" s="19" t="inlineStr"/>
      <c r="T3" s="19" t="inlineStr">
        <is>
          <t>/login</t>
        </is>
      </c>
      <c r="U3" s="19">
        <f>IFERROR(Environments!$B$3&amp;T3,T3)</f>
        <v/>
      </c>
      <c r="V3" s="19" t="inlineStr">
        <is>
          <t>Open /login. Exercise 'Email/password auth' (Signup/login with password). Confirm happy path for intended role; note plan gates and credit toasts.</t>
        </is>
      </c>
      <c r="W3" s="19" t="inlineStr">
        <is>
          <t>Free+</t>
        </is>
      </c>
      <c r="X3" s="19" t="inlineStr">
        <is>
          <t>0 / N/A</t>
        </is>
      </c>
      <c r="Y3" s="19" t="inlineStr"/>
    </row>
    <row r="4">
      <c r="A4" s="20" t="inlineStr">
        <is>
          <t>FEAT-002</t>
        </is>
      </c>
      <c r="B4" s="20" t="inlineStr">
        <is>
          <t>Auth &amp; Onboarding</t>
        </is>
      </c>
      <c r="C4" s="20" t="inlineStr">
        <is>
          <t>OAuth providers</t>
        </is>
      </c>
      <c r="D4" s="20" t="inlineStr">
        <is>
          <t>Google/GitHub/LinkedIn/Azure</t>
        </is>
      </c>
      <c r="E4" s="20" t="inlineStr">
        <is>
          <t>Yes</t>
        </is>
      </c>
      <c r="F4" s="20" t="inlineStr">
        <is>
          <t>Yes</t>
        </is>
      </c>
      <c r="G4" s="20" t="inlineStr">
        <is>
          <t>Yes</t>
        </is>
      </c>
      <c r="H4" s="20" t="inlineStr">
        <is>
          <t>Yes</t>
        </is>
      </c>
      <c r="I4" s="20" t="inlineStr">
        <is>
          <t>N/A</t>
        </is>
      </c>
      <c r="J4" s="20" t="inlineStr">
        <is>
          <t>Completed</t>
        </is>
      </c>
      <c r="K4" s="20" t="inlineStr">
        <is>
          <t>Fully Implemented</t>
        </is>
      </c>
      <c r="L4" s="20" t="inlineStr">
        <is>
          <t>In Testing</t>
        </is>
      </c>
      <c r="M4" s="20" t="inlineStr">
        <is>
          <t>Critical</t>
        </is>
      </c>
      <c r="N4" s="20" t="inlineStr">
        <is>
          <t>Medium</t>
        </is>
      </c>
      <c r="O4" s="20" t="inlineStr">
        <is>
          <t>Auth Lead</t>
        </is>
      </c>
      <c r="P4" s="20" t="inlineStr">
        <is>
          <t>Asha Sharma</t>
        </is>
      </c>
      <c r="Q4" s="20" t="n">
        <v>3</v>
      </c>
      <c r="R4" s="20" t="n">
        <v>2</v>
      </c>
      <c r="S4" s="20" t="inlineStr">
        <is>
          <t>Provider enablement env-dependent</t>
        </is>
      </c>
      <c r="T4" s="20" t="inlineStr">
        <is>
          <t>/login</t>
        </is>
      </c>
      <c r="U4" s="20">
        <f>IFERROR(Environments!$B$3&amp;T4,T4)</f>
        <v/>
      </c>
      <c r="V4" s="20" t="inlineStr">
        <is>
          <t>Open /login. Exercise 'OAuth providers' (Google/GitHub/LinkedIn/Azure). Confirm happy path for intended role; note plan gates and credit toasts.</t>
        </is>
      </c>
      <c r="W4" s="20" t="inlineStr">
        <is>
          <t>Free+</t>
        </is>
      </c>
      <c r="X4" s="20" t="inlineStr">
        <is>
          <t>0 / N/A</t>
        </is>
      </c>
      <c r="Y4" s="20" t="inlineStr"/>
    </row>
    <row r="5">
      <c r="A5" s="19" t="inlineStr">
        <is>
          <t>FEAT-003</t>
        </is>
      </c>
      <c r="B5" s="19" t="inlineStr">
        <is>
          <t>Auth &amp; Onboarding</t>
        </is>
      </c>
      <c r="C5" s="19" t="inlineStr">
        <is>
          <t>Email verification</t>
        </is>
      </c>
      <c r="D5" s="19" t="inlineStr">
        <is>
          <t>Verify email flow</t>
        </is>
      </c>
      <c r="E5" s="19" t="inlineStr">
        <is>
          <t>Yes</t>
        </is>
      </c>
      <c r="F5" s="19" t="inlineStr">
        <is>
          <t>Yes</t>
        </is>
      </c>
      <c r="G5" s="19" t="inlineStr">
        <is>
          <t>Yes</t>
        </is>
      </c>
      <c r="H5" s="19" t="inlineStr">
        <is>
          <t>Yes</t>
        </is>
      </c>
      <c r="I5" s="19" t="inlineStr">
        <is>
          <t>N/A</t>
        </is>
      </c>
      <c r="J5" s="19" t="inlineStr">
        <is>
          <t>Completed</t>
        </is>
      </c>
      <c r="K5" s="19" t="inlineStr">
        <is>
          <t>Fully Implemented</t>
        </is>
      </c>
      <c r="L5" s="19" t="inlineStr">
        <is>
          <t>Passed</t>
        </is>
      </c>
      <c r="M5" s="19" t="inlineStr">
        <is>
          <t>High</t>
        </is>
      </c>
      <c r="N5" s="19" t="inlineStr">
        <is>
          <t>Medium</t>
        </is>
      </c>
      <c r="O5" s="19" t="inlineStr">
        <is>
          <t>Auth Lead</t>
        </is>
      </c>
      <c r="P5" s="19" t="inlineStr">
        <is>
          <t>Asha Sharma</t>
        </is>
      </c>
      <c r="Q5" s="19" t="n">
        <v>1.5</v>
      </c>
      <c r="R5" s="19" t="n">
        <v>1</v>
      </c>
      <c r="S5" s="19" t="inlineStr"/>
      <c r="T5" s="19" t="inlineStr">
        <is>
          <t>/auth/verify</t>
        </is>
      </c>
      <c r="U5" s="19">
        <f>IFERROR(Environments!$B$3&amp;T5,T5)</f>
        <v/>
      </c>
      <c r="V5" s="19" t="inlineStr">
        <is>
          <t>Open /auth/verify. Exercise 'Email verification' (Verify email flow). Confirm happy path for intended role; note plan gates and credit toasts.</t>
        </is>
      </c>
      <c r="W5" s="19" t="inlineStr">
        <is>
          <t>Free+</t>
        </is>
      </c>
      <c r="X5" s="19" t="inlineStr">
        <is>
          <t>0 / N/A</t>
        </is>
      </c>
      <c r="Y5" s="19" t="inlineStr"/>
    </row>
    <row r="6">
      <c r="A6" s="20" t="inlineStr">
        <is>
          <t>FEAT-004</t>
        </is>
      </c>
      <c r="B6" s="20" t="inlineStr">
        <is>
          <t>Auth &amp; Onboarding</t>
        </is>
      </c>
      <c r="C6" s="20" t="inlineStr">
        <is>
          <t>Password reset</t>
        </is>
      </c>
      <c r="D6" s="20" t="inlineStr">
        <is>
          <t>Forgot/reset password</t>
        </is>
      </c>
      <c r="E6" s="20" t="inlineStr">
        <is>
          <t>Yes</t>
        </is>
      </c>
      <c r="F6" s="20" t="inlineStr">
        <is>
          <t>Yes</t>
        </is>
      </c>
      <c r="G6" s="20" t="inlineStr">
        <is>
          <t>Yes</t>
        </is>
      </c>
      <c r="H6" s="20" t="inlineStr">
        <is>
          <t>Yes</t>
        </is>
      </c>
      <c r="I6" s="20" t="inlineStr">
        <is>
          <t>N/A</t>
        </is>
      </c>
      <c r="J6" s="20" t="inlineStr">
        <is>
          <t>Completed</t>
        </is>
      </c>
      <c r="K6" s="20" t="inlineStr">
        <is>
          <t>Fully Implemented</t>
        </is>
      </c>
      <c r="L6" s="20" t="inlineStr">
        <is>
          <t>Passed</t>
        </is>
      </c>
      <c r="M6" s="20" t="inlineStr">
        <is>
          <t>High</t>
        </is>
      </c>
      <c r="N6" s="20" t="inlineStr">
        <is>
          <t>Medium</t>
        </is>
      </c>
      <c r="O6" s="20" t="inlineStr">
        <is>
          <t>Auth Lead</t>
        </is>
      </c>
      <c r="P6" s="20" t="inlineStr">
        <is>
          <t>Asha Sharma</t>
        </is>
      </c>
      <c r="Q6" s="20" t="n">
        <v>1.5</v>
      </c>
      <c r="R6" s="20" t="n">
        <v>1</v>
      </c>
      <c r="S6" s="20" t="inlineStr"/>
      <c r="T6" s="20" t="inlineStr">
        <is>
          <t>/forgot-password</t>
        </is>
      </c>
      <c r="U6" s="20">
        <f>IFERROR(Environments!$B$3&amp;T6,T6)</f>
        <v/>
      </c>
      <c r="V6" s="20" t="inlineStr">
        <is>
          <t>Open /forgot-password. Exercise 'Password reset' (Forgot/reset password). Confirm happy path for intended role; note plan gates and credit toasts.</t>
        </is>
      </c>
      <c r="W6" s="20" t="inlineStr">
        <is>
          <t>Free+</t>
        </is>
      </c>
      <c r="X6" s="20" t="inlineStr">
        <is>
          <t>0 / N/A</t>
        </is>
      </c>
      <c r="Y6" s="20" t="inlineStr"/>
    </row>
    <row r="7">
      <c r="A7" s="19" t="inlineStr">
        <is>
          <t>FEAT-005</t>
        </is>
      </c>
      <c r="B7" s="19" t="inlineStr">
        <is>
          <t>Auth &amp; Onboarding</t>
        </is>
      </c>
      <c r="C7" s="19" t="inlineStr">
        <is>
          <t>TOTP MFA</t>
        </is>
      </c>
      <c r="D7" s="19" t="inlineStr">
        <is>
          <t>Enable/verify TOTP</t>
        </is>
      </c>
      <c r="E7" s="19" t="inlineStr">
        <is>
          <t>Yes</t>
        </is>
      </c>
      <c r="F7" s="19" t="inlineStr">
        <is>
          <t>Yes</t>
        </is>
      </c>
      <c r="G7" s="19" t="inlineStr">
        <is>
          <t>Yes</t>
        </is>
      </c>
      <c r="H7" s="19" t="inlineStr">
        <is>
          <t>Yes</t>
        </is>
      </c>
      <c r="I7" s="19" t="inlineStr">
        <is>
          <t>N/A</t>
        </is>
      </c>
      <c r="J7" s="19" t="inlineStr">
        <is>
          <t>Completed</t>
        </is>
      </c>
      <c r="K7" s="19" t="inlineStr">
        <is>
          <t>Fully Implemented</t>
        </is>
      </c>
      <c r="L7" s="19" t="inlineStr">
        <is>
          <t>Not Tested</t>
        </is>
      </c>
      <c r="M7" s="19" t="inlineStr">
        <is>
          <t>High</t>
        </is>
      </c>
      <c r="N7" s="19" t="inlineStr">
        <is>
          <t>High</t>
        </is>
      </c>
      <c r="O7" s="19" t="inlineStr">
        <is>
          <t>Auth Lead</t>
        </is>
      </c>
      <c r="P7" s="19" t="inlineStr">
        <is>
          <t>Asha Sharma</t>
        </is>
      </c>
      <c r="Q7" s="19" t="n">
        <v>3</v>
      </c>
      <c r="R7" s="19" t="n">
        <v>0</v>
      </c>
      <c r="S7" s="19" t="inlineStr"/>
      <c r="T7" s="19" t="inlineStr">
        <is>
          <t>/login</t>
        </is>
      </c>
      <c r="U7" s="19">
        <f>IFERROR(Environments!$B$3&amp;T7,T7)</f>
        <v/>
      </c>
      <c r="V7" s="19" t="inlineStr">
        <is>
          <t>Open /login. Exercise 'TOTP MFA' (Enable/verify TOTP). Confirm happy path for intended role; note plan gates and credit toasts.</t>
        </is>
      </c>
      <c r="W7" s="19" t="inlineStr">
        <is>
          <t>Free+</t>
        </is>
      </c>
      <c r="X7" s="19" t="inlineStr">
        <is>
          <t>0 / N/A</t>
        </is>
      </c>
      <c r="Y7" s="19" t="inlineStr"/>
    </row>
    <row r="8">
      <c r="A8" s="20" t="inlineStr">
        <is>
          <t>FEAT-006</t>
        </is>
      </c>
      <c r="B8" s="20" t="inlineStr">
        <is>
          <t>Auth &amp; Onboarding</t>
        </is>
      </c>
      <c r="C8" s="20" t="inlineStr">
        <is>
          <t>Account lockout</t>
        </is>
      </c>
      <c r="D8" s="20" t="inlineStr">
        <is>
          <t>Client lockout after failures</t>
        </is>
      </c>
      <c r="E8" s="20" t="inlineStr">
        <is>
          <t>Yes</t>
        </is>
      </c>
      <c r="F8" s="20" t="inlineStr">
        <is>
          <t>N/A</t>
        </is>
      </c>
      <c r="G8" s="20" t="inlineStr">
        <is>
          <t>N/A</t>
        </is>
      </c>
      <c r="H8" s="20" t="inlineStr">
        <is>
          <t>N/A</t>
        </is>
      </c>
      <c r="I8" s="20" t="inlineStr">
        <is>
          <t>N/A</t>
        </is>
      </c>
      <c r="J8" s="20" t="inlineStr">
        <is>
          <t>Completed</t>
        </is>
      </c>
      <c r="K8" s="20" t="inlineStr">
        <is>
          <t>Fully Implemented</t>
        </is>
      </c>
      <c r="L8" s="20" t="inlineStr">
        <is>
          <t>Not Tested</t>
        </is>
      </c>
      <c r="M8" s="20" t="inlineStr">
        <is>
          <t>Medium</t>
        </is>
      </c>
      <c r="N8" s="20" t="inlineStr">
        <is>
          <t>Medium</t>
        </is>
      </c>
      <c r="O8" s="20" t="inlineStr">
        <is>
          <t>Auth Lead</t>
        </is>
      </c>
      <c r="P8" s="20" t="inlineStr">
        <is>
          <t>Asha Sharma</t>
        </is>
      </c>
      <c r="Q8" s="20" t="n">
        <v>1</v>
      </c>
      <c r="R8" s="20" t="n">
        <v>0</v>
      </c>
      <c r="S8" s="20" t="inlineStr">
        <is>
          <t>localStorage based</t>
        </is>
      </c>
      <c r="T8" s="20" t="inlineStr">
        <is>
          <t>/login</t>
        </is>
      </c>
      <c r="U8" s="20">
        <f>IFERROR(Environments!$B$3&amp;T8,T8)</f>
        <v/>
      </c>
      <c r="V8" s="20" t="inlineStr">
        <is>
          <t>Open /login. Exercise 'Account lockout' (Client lockout after failures). Confirm happy path for intended role; note plan gates and credit toasts.</t>
        </is>
      </c>
      <c r="W8" s="20" t="inlineStr">
        <is>
          <t>Free+</t>
        </is>
      </c>
      <c r="X8" s="20" t="inlineStr">
        <is>
          <t>0 / N/A</t>
        </is>
      </c>
      <c r="Y8" s="20" t="inlineStr"/>
    </row>
    <row r="9">
      <c r="A9" s="19" t="inlineStr">
        <is>
          <t>FEAT-007</t>
        </is>
      </c>
      <c r="B9" s="19" t="inlineStr">
        <is>
          <t>Auth &amp; Onboarding</t>
        </is>
      </c>
      <c r="C9" s="19" t="inlineStr">
        <is>
          <t>Onboarding wizard 5 steps</t>
        </is>
      </c>
      <c r="D9" s="19" t="inlineStr">
        <is>
          <t>Collect profile/experience/audio/resume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Yes</t>
        </is>
      </c>
      <c r="H9" s="19" t="inlineStr">
        <is>
          <t>Yes</t>
        </is>
      </c>
      <c r="I9" s="19" t="inlineStr">
        <is>
          <t>Yes</t>
        </is>
      </c>
      <c r="J9" s="19" t="inlineStr">
        <is>
          <t>In Progress</t>
        </is>
      </c>
      <c r="K9" s="19" t="inlineStr">
        <is>
          <t>Partial</t>
        </is>
      </c>
      <c r="L9" s="19" t="inlineStr">
        <is>
          <t>In Testing</t>
        </is>
      </c>
      <c r="M9" s="19" t="inlineStr">
        <is>
          <t>Critical</t>
        </is>
      </c>
      <c r="N9" s="19" t="inlineStr">
        <is>
          <t>High</t>
        </is>
      </c>
      <c r="O9" s="19" t="inlineStr">
        <is>
          <t>Auth Lead</t>
        </is>
      </c>
      <c r="P9" s="19" t="inlineStr">
        <is>
          <t>Priya Nair</t>
        </is>
      </c>
      <c r="Q9" s="19" t="n">
        <v>5</v>
      </c>
      <c r="R9" s="19" t="n">
        <v>3</v>
      </c>
      <c r="S9" s="19" t="inlineStr">
        <is>
          <t>Mic+anxiety prefs now persist</t>
        </is>
      </c>
      <c r="T9" s="19" t="inlineStr">
        <is>
          <t>/login</t>
        </is>
      </c>
      <c r="U9" s="19">
        <f>IFERROR(Environments!$B$3&amp;T9,T9)</f>
        <v/>
      </c>
      <c r="V9" s="19" t="inlineStr">
        <is>
          <t>Open /login. Exercise 'Onboarding wizard 5 steps' (Collect profile/experience/audio/resume). Confirm happy path for intended role; note plan gates and credit toasts.</t>
        </is>
      </c>
      <c r="W9" s="19" t="inlineStr">
        <is>
          <t>Free+</t>
        </is>
      </c>
      <c r="X9" s="19" t="inlineStr">
        <is>
          <t>0 / N/A</t>
        </is>
      </c>
      <c r="Y9" s="19" t="inlineStr"/>
    </row>
    <row r="10">
      <c r="A10" s="20" t="inlineStr">
        <is>
          <t>FEAT-008</t>
        </is>
      </c>
      <c r="B10" s="20" t="inlineStr">
        <is>
          <t>Dashboard</t>
        </is>
      </c>
      <c r="C10" s="20" t="inlineStr">
        <is>
          <t>Home dashboard KPIs</t>
        </is>
      </c>
      <c r="D10" s="20" t="inlineStr">
        <is>
          <t>Sessions, credits, upcoming</t>
        </is>
      </c>
      <c r="E10" s="20" t="inlineStr">
        <is>
          <t>Yes</t>
        </is>
      </c>
      <c r="F10" s="20" t="inlineStr">
        <is>
          <t>Yes</t>
        </is>
      </c>
      <c r="G10" s="20" t="inlineStr">
        <is>
          <t>Yes</t>
        </is>
      </c>
      <c r="H10" s="20" t="inlineStr">
        <is>
          <t>Yes</t>
        </is>
      </c>
      <c r="I10" s="20" t="inlineStr">
        <is>
          <t>N/A</t>
        </is>
      </c>
      <c r="J10" s="20" t="inlineStr">
        <is>
          <t>Completed</t>
        </is>
      </c>
      <c r="K10" s="20" t="inlineStr">
        <is>
          <t>Fully Implemented</t>
        </is>
      </c>
      <c r="L10" s="20" t="inlineStr">
        <is>
          <t>Passed</t>
        </is>
      </c>
      <c r="M10" s="20" t="inlineStr">
        <is>
          <t>High</t>
        </is>
      </c>
      <c r="N10" s="20" t="inlineStr">
        <is>
          <t>Low</t>
        </is>
      </c>
      <c r="O10" s="20" t="inlineStr">
        <is>
          <t>Product</t>
        </is>
      </c>
      <c r="P10" s="20" t="inlineStr">
        <is>
          <t>Rohan Mehta</t>
        </is>
      </c>
      <c r="Q10" s="20" t="n">
        <v>2</v>
      </c>
      <c r="R10" s="20" t="n">
        <v>1.5</v>
      </c>
      <c r="S10" s="20" t="inlineStr"/>
      <c r="T10" s="20" t="inlineStr">
        <is>
          <t>/app/dashboard</t>
        </is>
      </c>
      <c r="U10" s="20">
        <f>IFERROR(Environments!$B$3&amp;T10,T10)</f>
        <v/>
      </c>
      <c r="V10" s="20" t="inlineStr">
        <is>
          <t>Open /app/dashboard. Exercise 'Home dashboard KPIs' (Sessions, credits, upcoming). Confirm happy path for intended role; note plan gates and credit toasts.</t>
        </is>
      </c>
      <c r="W10" s="20" t="inlineStr">
        <is>
          <t>Free+</t>
        </is>
      </c>
      <c r="X10" s="20" t="inlineStr">
        <is>
          <t>0 / N/A</t>
        </is>
      </c>
      <c r="Y10" s="20" t="inlineStr"/>
    </row>
    <row r="11">
      <c r="A11" s="19" t="inlineStr">
        <is>
          <t>FEAT-009</t>
        </is>
      </c>
      <c r="B11" s="19" t="inlineStr">
        <is>
          <t>Dashboard</t>
        </is>
      </c>
      <c r="C11" s="19" t="inlineStr">
        <is>
          <t>App routing guards</t>
        </is>
      </c>
      <c r="D11" s="19" t="inlineStr">
        <is>
          <t>ProtectedRoute + admin gates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Yes</t>
        </is>
      </c>
      <c r="H11" s="19" t="inlineStr">
        <is>
          <t>N/A</t>
        </is>
      </c>
      <c r="I11" s="19" t="inlineStr">
        <is>
          <t>N/A</t>
        </is>
      </c>
      <c r="J11" s="19" t="inlineStr">
        <is>
          <t>Completed</t>
        </is>
      </c>
      <c r="K11" s="19" t="inlineStr">
        <is>
          <t>Fully Implemented</t>
        </is>
      </c>
      <c r="L11" s="19" t="inlineStr">
        <is>
          <t>Passed</t>
        </is>
      </c>
      <c r="M11" s="19" t="inlineStr">
        <is>
          <t>Critical</t>
        </is>
      </c>
      <c r="N11" s="19" t="inlineStr">
        <is>
          <t>High</t>
        </is>
      </c>
      <c r="O11" s="19" t="inlineStr">
        <is>
          <t>Platform</t>
        </is>
      </c>
      <c r="P11" s="19" t="inlineStr">
        <is>
          <t>Dev Patel</t>
        </is>
      </c>
      <c r="Q11" s="19" t="n">
        <v>2</v>
      </c>
      <c r="R11" s="19" t="n">
        <v>1.5</v>
      </c>
      <c r="S11" s="19" t="inlineStr"/>
      <c r="T11" s="19" t="inlineStr">
        <is>
          <t>/app/dashboard</t>
        </is>
      </c>
      <c r="U11" s="19">
        <f>IFERROR(Environments!$B$3&amp;T11,T11)</f>
        <v/>
      </c>
      <c r="V11" s="19" t="inlineStr">
        <is>
          <t>Open /app/dashboard. Exercise 'App routing guards' (ProtectedRoute + admin gates). Confirm happy path for intended role; note plan gates and credit toasts.</t>
        </is>
      </c>
      <c r="W11" s="19" t="inlineStr">
        <is>
          <t>Free+</t>
        </is>
      </c>
      <c r="X11" s="19" t="inlineStr">
        <is>
          <t>0 / N/A</t>
        </is>
      </c>
      <c r="Y11" s="19" t="inlineStr"/>
    </row>
    <row r="12">
      <c r="A12" s="20" t="inlineStr">
        <is>
          <t>FEAT-010</t>
        </is>
      </c>
      <c r="B12" s="20" t="inlineStr">
        <is>
          <t>Dashboard</t>
        </is>
      </c>
      <c r="C12" s="20" t="inlineStr">
        <is>
          <t>In-app 404 NotFound</t>
        </is>
      </c>
      <c r="D12" s="20" t="inlineStr">
        <is>
          <t>/app/* splat catch-all</t>
        </is>
      </c>
      <c r="E12" s="20" t="inlineStr">
        <is>
          <t>Yes</t>
        </is>
      </c>
      <c r="F12" s="20" t="inlineStr">
        <is>
          <t>N/A</t>
        </is>
      </c>
      <c r="G12" s="20" t="inlineStr">
        <is>
          <t>N/A</t>
        </is>
      </c>
      <c r="H12" s="20" t="inlineStr">
        <is>
          <t>N/A</t>
        </is>
      </c>
      <c r="I12" s="20" t="inlineStr">
        <is>
          <t>N/A</t>
        </is>
      </c>
      <c r="J12" s="20" t="inlineStr">
        <is>
          <t>Completed</t>
        </is>
      </c>
      <c r="K12" s="20" t="inlineStr">
        <is>
          <t>Fully Implemented</t>
        </is>
      </c>
      <c r="L12" s="20" t="inlineStr">
        <is>
          <t>Passed</t>
        </is>
      </c>
      <c r="M12" s="20" t="inlineStr">
        <is>
          <t>Medium</t>
        </is>
      </c>
      <c r="N12" s="20" t="inlineStr">
        <is>
          <t>Low</t>
        </is>
      </c>
      <c r="O12" s="20" t="inlineStr">
        <is>
          <t>Product</t>
        </is>
      </c>
      <c r="P12" s="20" t="inlineStr">
        <is>
          <t>Asha Sharma</t>
        </is>
      </c>
      <c r="Q12" s="20" t="n">
        <v>0.5</v>
      </c>
      <c r="R12" s="20" t="n">
        <v>0.25</v>
      </c>
      <c r="S12" s="20" t="inlineStr">
        <is>
          <t>P1-4 fixed</t>
        </is>
      </c>
      <c r="T12" s="20" t="inlineStr">
        <is>
          <t>/app/dashboard</t>
        </is>
      </c>
      <c r="U12" s="20">
        <f>IFERROR(Environments!$B$3&amp;T12,T12)</f>
        <v/>
      </c>
      <c r="V12" s="20" t="inlineStr">
        <is>
          <t>Open /app/dashboard. Exercise 'In-app 404 NotFound' (/app/* splat catch-all). Confirm happy path for intended role; note plan gates and credit toasts.</t>
        </is>
      </c>
      <c r="W12" s="20" t="inlineStr">
        <is>
          <t>Free+</t>
        </is>
      </c>
      <c r="X12" s="20" t="inlineStr">
        <is>
          <t>0 / N/A</t>
        </is>
      </c>
      <c r="Y12" s="20" t="inlineStr"/>
    </row>
    <row r="13">
      <c r="A13" s="19" t="inlineStr">
        <is>
          <t>FEAT-011</t>
        </is>
      </c>
      <c r="B13" s="19" t="inlineStr">
        <is>
          <t>Dashboard</t>
        </is>
      </c>
      <c r="C13" s="19" t="inlineStr">
        <is>
          <t>Mobile navigation</t>
        </is>
      </c>
      <c r="D13" s="19" t="inlineStr">
        <is>
          <t>Bottom nav destinations</t>
        </is>
      </c>
      <c r="E13" s="19" t="inlineStr">
        <is>
          <t>Yes</t>
        </is>
      </c>
      <c r="F13" s="19" t="inlineStr">
        <is>
          <t>N/A</t>
        </is>
      </c>
      <c r="G13" s="19" t="inlineStr">
        <is>
          <t>N/A</t>
        </is>
      </c>
      <c r="H13" s="19" t="inlineStr">
        <is>
          <t>N/A</t>
        </is>
      </c>
      <c r="I13" s="19" t="inlineStr">
        <is>
          <t>N/A</t>
        </is>
      </c>
      <c r="J13" s="19" t="inlineStr">
        <is>
          <t>Completed</t>
        </is>
      </c>
      <c r="K13" s="19" t="inlineStr">
        <is>
          <t>Fully Implemented</t>
        </is>
      </c>
      <c r="L13" s="19" t="inlineStr">
        <is>
          <t>Ready</t>
        </is>
      </c>
      <c r="M13" s="19" t="inlineStr">
        <is>
          <t>Medium</t>
        </is>
      </c>
      <c r="N13" s="19" t="inlineStr">
        <is>
          <t>Medium</t>
        </is>
      </c>
      <c r="O13" s="19" t="inlineStr">
        <is>
          <t>Product</t>
        </is>
      </c>
      <c r="P13" s="19" t="inlineStr">
        <is>
          <t>Rohan Mehta</t>
        </is>
      </c>
      <c r="Q13" s="19" t="n">
        <v>2</v>
      </c>
      <c r="R13" s="19" t="n">
        <v>1.5</v>
      </c>
      <c r="S13" s="19" t="inlineStr">
        <is>
          <t>Usage + Interview Day added</t>
        </is>
      </c>
      <c r="T13" s="19" t="inlineStr">
        <is>
          <t>/app/dashboard</t>
        </is>
      </c>
      <c r="U13" s="19">
        <f>IFERROR(Environments!$B$3&amp;T13,T13)</f>
        <v/>
      </c>
      <c r="V13" s="19" t="inlineStr">
        <is>
          <t>Mobile viewport → More sheet includes Usage and Interview Day matching sidebar.</t>
        </is>
      </c>
      <c r="W13" s="19" t="inlineStr">
        <is>
          <t>Free+</t>
        </is>
      </c>
      <c r="X13" s="19" t="inlineStr">
        <is>
          <t>0 / N/A</t>
        </is>
      </c>
      <c r="Y13" s="19" t="inlineStr"/>
    </row>
    <row r="14">
      <c r="A14" s="20" t="inlineStr">
        <is>
          <t>FEAT-012</t>
        </is>
      </c>
      <c r="B14" s="20" t="inlineStr">
        <is>
          <t>Dashboard</t>
        </is>
      </c>
      <c r="C14" s="20" t="inlineStr">
        <is>
          <t>Command palette</t>
        </is>
      </c>
      <c r="D14" s="20" t="inlineStr">
        <is>
          <t>Ctrl/Cmd+K search</t>
        </is>
      </c>
      <c r="E14" s="20" t="inlineStr">
        <is>
          <t>Yes</t>
        </is>
      </c>
      <c r="F14" s="20" t="inlineStr">
        <is>
          <t>N/A</t>
        </is>
      </c>
      <c r="G14" s="20" t="inlineStr">
        <is>
          <t>N/A</t>
        </is>
      </c>
      <c r="H14" s="20" t="inlineStr">
        <is>
          <t>N/A</t>
        </is>
      </c>
      <c r="I14" s="20" t="inlineStr">
        <is>
          <t>N/A</t>
        </is>
      </c>
      <c r="J14" s="20" t="inlineStr">
        <is>
          <t>Completed</t>
        </is>
      </c>
      <c r="K14" s="20" t="inlineStr">
        <is>
          <t>Partial</t>
        </is>
      </c>
      <c r="L14" s="20" t="inlineStr">
        <is>
          <t>In Testing</t>
        </is>
      </c>
      <c r="M14" s="20" t="inlineStr">
        <is>
          <t>Low</t>
        </is>
      </c>
      <c r="N14" s="20" t="inlineStr">
        <is>
          <t>Low</t>
        </is>
      </c>
      <c r="O14" s="20" t="inlineStr">
        <is>
          <t>Product</t>
        </is>
      </c>
      <c r="P14" s="20" t="inlineStr">
        <is>
          <t>Rohan Mehta</t>
        </is>
      </c>
      <c r="Q14" s="20" t="n">
        <v>1</v>
      </c>
      <c r="R14" s="20" t="n">
        <v>0.5</v>
      </c>
      <c r="S14" s="20" t="inlineStr">
        <is>
          <t>Nav only</t>
        </is>
      </c>
      <c r="T14" s="20" t="inlineStr">
        <is>
          <t>/app/dashboard</t>
        </is>
      </c>
      <c r="U14" s="20">
        <f>IFERROR(Environments!$B$3&amp;T14,T14)</f>
        <v/>
      </c>
      <c r="V14" s="20" t="inlineStr">
        <is>
          <t>Open /app/dashboard. Exercise 'Command palette' (Ctrl/Cmd+K search). Confirm happy path for intended role; note plan gates and credit toasts.</t>
        </is>
      </c>
      <c r="W14" s="20" t="inlineStr">
        <is>
          <t>Free+</t>
        </is>
      </c>
      <c r="X14" s="20" t="inlineStr">
        <is>
          <t>0 / N/A</t>
        </is>
      </c>
      <c r="Y14" s="20" t="inlineStr"/>
    </row>
    <row r="15">
      <c r="A15" s="19" t="inlineStr">
        <is>
          <t>FEAT-013</t>
        </is>
      </c>
      <c r="B15" s="19" t="inlineStr">
        <is>
          <t>Live Practice Coach</t>
        </is>
      </c>
      <c r="C15" s="19" t="inlineStr">
        <is>
          <t>Live Practice Coach session</t>
        </is>
      </c>
      <c r="D15" s="19" t="inlineStr">
        <is>
          <t>Core live rehearsal loop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Yes</t>
        </is>
      </c>
      <c r="H15" s="19" t="inlineStr">
        <is>
          <t>Yes</t>
        </is>
      </c>
      <c r="I15" s="19" t="inlineStr">
        <is>
          <t>Yes</t>
        </is>
      </c>
      <c r="J15" s="19" t="inlineStr">
        <is>
          <t>Completed</t>
        </is>
      </c>
      <c r="K15" s="19" t="inlineStr">
        <is>
          <t>Fully Implemented</t>
        </is>
      </c>
      <c r="L15" s="19" t="inlineStr">
        <is>
          <t>Passed</t>
        </is>
      </c>
      <c r="M15" s="19" t="inlineStr">
        <is>
          <t>Critical</t>
        </is>
      </c>
      <c r="N15" s="19" t="inlineStr">
        <is>
          <t>Critical</t>
        </is>
      </c>
      <c r="O15" s="19" t="inlineStr">
        <is>
          <t>Live Coach</t>
        </is>
      </c>
      <c r="P15" s="19" t="inlineStr">
        <is>
          <t>Priya Nair</t>
        </is>
      </c>
      <c r="Q15" s="19" t="n">
        <v>8</v>
      </c>
      <c r="R15" s="19" t="n">
        <v>6</v>
      </c>
      <c r="S15" s="19" t="inlineStr"/>
      <c r="T15" s="19" t="inlineStr">
        <is>
          <t>/app/live</t>
        </is>
      </c>
      <c r="U15" s="19">
        <f>IFERROR(Environments!$B$3&amp;T15,T15)</f>
        <v/>
      </c>
      <c r="V15" s="19" t="inlineStr">
        <is>
          <t>Open /app/live. Exercise 'Live Practice Coach session' (Core live rehearsal loop). Confirm happy path for intended role; note plan gates and credit toasts.</t>
        </is>
      </c>
      <c r="W15" s="19" t="inlineStr">
        <is>
          <t>Free+</t>
        </is>
      </c>
      <c r="X15" s="19" t="inlineStr">
        <is>
          <t>0 / N/A</t>
        </is>
      </c>
      <c r="Y15" s="19" t="inlineStr"/>
    </row>
    <row r="16">
      <c r="A16" s="20" t="inlineStr">
        <is>
          <t>FEAT-014</t>
        </is>
      </c>
      <c r="B16" s="20" t="inlineStr">
        <is>
          <t>Live Practice Coach</t>
        </is>
      </c>
      <c r="C16" s="20" t="inlineStr">
        <is>
          <t>System/tab audio capture</t>
        </is>
      </c>
      <c r="D16" s="20" t="inlineStr">
        <is>
          <t>Chrome/Edge tab audio</t>
        </is>
      </c>
      <c r="E16" s="20" t="inlineStr">
        <is>
          <t>Yes</t>
        </is>
      </c>
      <c r="F16" s="20" t="inlineStr">
        <is>
          <t>N/A</t>
        </is>
      </c>
      <c r="G16" s="20" t="inlineStr">
        <is>
          <t>N/A</t>
        </is>
      </c>
      <c r="H16" s="20" t="inlineStr">
        <is>
          <t>N/A</t>
        </is>
      </c>
      <c r="I16" s="20" t="inlineStr">
        <is>
          <t>N/A</t>
        </is>
      </c>
      <c r="J16" s="20" t="inlineStr">
        <is>
          <t>Completed</t>
        </is>
      </c>
      <c r="K16" s="20" t="inlineStr">
        <is>
          <t>Fully Implemented</t>
        </is>
      </c>
      <c r="L16" s="20" t="inlineStr">
        <is>
          <t>Passed</t>
        </is>
      </c>
      <c r="M16" s="20" t="inlineStr">
        <is>
          <t>Critical</t>
        </is>
      </c>
      <c r="N16" s="20" t="inlineStr">
        <is>
          <t>High</t>
        </is>
      </c>
      <c r="O16" s="20" t="inlineStr">
        <is>
          <t>Live Coach</t>
        </is>
      </c>
      <c r="P16" s="20" t="inlineStr">
        <is>
          <t>Priya Nair</t>
        </is>
      </c>
      <c r="Q16" s="20" t="n">
        <v>3</v>
      </c>
      <c r="R16" s="20" t="n">
        <v>2</v>
      </c>
      <c r="S16" s="20" t="inlineStr">
        <is>
          <t>Chrome/Edge only</t>
        </is>
      </c>
      <c r="T16" s="20" t="inlineStr">
        <is>
          <t>/app/live</t>
        </is>
      </c>
      <c r="U16" s="20">
        <f>IFERROR(Environments!$B$3&amp;T16,T16)</f>
        <v/>
      </c>
      <c r="V16" s="20" t="inlineStr">
        <is>
          <t>Open /app/live. Exercise 'System/tab audio capture' (Chrome/Edge tab audio). Confirm happy path for intended role; note plan gates and credit toasts.</t>
        </is>
      </c>
      <c r="W16" s="20" t="inlineStr">
        <is>
          <t>Free+</t>
        </is>
      </c>
      <c r="X16" s="20" t="inlineStr">
        <is>
          <t>0 / N/A</t>
        </is>
      </c>
      <c r="Y16" s="20" t="inlineStr"/>
    </row>
    <row r="17">
      <c r="A17" s="19" t="inlineStr">
        <is>
          <t>FEAT-015</t>
        </is>
      </c>
      <c r="B17" s="19" t="inlineStr">
        <is>
          <t>Live Practice Coach</t>
        </is>
      </c>
      <c r="C17" s="19" t="inlineStr">
        <is>
          <t>Deepgram streaming STT</t>
        </is>
      </c>
      <c r="D17" s="19" t="inlineStr">
        <is>
          <t>nova-2-meeting stream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N/A</t>
        </is>
      </c>
      <c r="H17" s="19" t="inlineStr">
        <is>
          <t>Yes</t>
        </is>
      </c>
      <c r="I17" s="19" t="inlineStr">
        <is>
          <t>Yes</t>
        </is>
      </c>
      <c r="J17" s="19" t="inlineStr">
        <is>
          <t>Completed</t>
        </is>
      </c>
      <c r="K17" s="19" t="inlineStr">
        <is>
          <t>Fully Implemented</t>
        </is>
      </c>
      <c r="L17" s="19" t="inlineStr">
        <is>
          <t>Passed</t>
        </is>
      </c>
      <c r="M17" s="19" t="inlineStr">
        <is>
          <t>Critical</t>
        </is>
      </c>
      <c r="N17" s="19" t="inlineStr">
        <is>
          <t>Critical</t>
        </is>
      </c>
      <c r="O17" s="19" t="inlineStr">
        <is>
          <t>Live Coach</t>
        </is>
      </c>
      <c r="P17" s="19" t="inlineStr">
        <is>
          <t>Priya Nair</t>
        </is>
      </c>
      <c r="Q17" s="19" t="n">
        <v>4</v>
      </c>
      <c r="R17" s="19" t="n">
        <v>3.5</v>
      </c>
      <c r="S17" s="19" t="inlineStr">
        <is>
          <t>deepgram-token</t>
        </is>
      </c>
      <c r="T17" s="19" t="inlineStr">
        <is>
          <t>/app/live</t>
        </is>
      </c>
      <c r="U17" s="19">
        <f>IFERROR(Environments!$B$3&amp;T17,T17)</f>
        <v/>
      </c>
      <c r="V17" s="19" t="inlineStr">
        <is>
          <t>Open /app/live. Exercise 'Deepgram streaming STT' (nova-2-meeting stream). Confirm happy path for intended role; note plan gates and credit toasts.</t>
        </is>
      </c>
      <c r="W17" s="19" t="inlineStr">
        <is>
          <t>Free+</t>
        </is>
      </c>
      <c r="X17" s="19" t="inlineStr">
        <is>
          <t>0 / N/A</t>
        </is>
      </c>
      <c r="Y17" s="19" t="inlineStr"/>
    </row>
    <row r="18">
      <c r="A18" s="20" t="inlineStr">
        <is>
          <t>FEAT-016</t>
        </is>
      </c>
      <c r="B18" s="20" t="inlineStr">
        <is>
          <t>Live Practice Coach</t>
        </is>
      </c>
      <c r="C18" s="20" t="inlineStr">
        <is>
          <t>Speaker diarization</t>
        </is>
      </c>
      <c r="D18" s="20" t="inlineStr">
        <is>
          <t>Interviewer vs candidate</t>
        </is>
      </c>
      <c r="E18" s="20" t="inlineStr">
        <is>
          <t>Yes</t>
        </is>
      </c>
      <c r="F18" s="20" t="inlineStr">
        <is>
          <t>Yes</t>
        </is>
      </c>
      <c r="G18" s="20" t="inlineStr">
        <is>
          <t>Yes</t>
        </is>
      </c>
      <c r="H18" s="20" t="inlineStr">
        <is>
          <t>N/A</t>
        </is>
      </c>
      <c r="I18" s="20" t="inlineStr">
        <is>
          <t>N/A</t>
        </is>
      </c>
      <c r="J18" s="20" t="inlineStr">
        <is>
          <t>Completed</t>
        </is>
      </c>
      <c r="K18" s="20" t="inlineStr">
        <is>
          <t>Fully Implemented</t>
        </is>
      </c>
      <c r="L18" s="20" t="inlineStr">
        <is>
          <t>Passed</t>
        </is>
      </c>
      <c r="M18" s="20" t="inlineStr">
        <is>
          <t>High</t>
        </is>
      </c>
      <c r="N18" s="20" t="inlineStr">
        <is>
          <t>High</t>
        </is>
      </c>
      <c r="O18" s="20" t="inlineStr">
        <is>
          <t>Live Coach</t>
        </is>
      </c>
      <c r="P18" s="20" t="inlineStr">
        <is>
          <t>Priya Nair</t>
        </is>
      </c>
      <c r="Q18" s="20" t="n">
        <v>3</v>
      </c>
      <c r="R18" s="20" t="n">
        <v>2</v>
      </c>
      <c r="S18" s="20" t="inlineStr"/>
      <c r="T18" s="20" t="inlineStr">
        <is>
          <t>/app/live</t>
        </is>
      </c>
      <c r="U18" s="20">
        <f>IFERROR(Environments!$B$3&amp;T18,T18)</f>
        <v/>
      </c>
      <c r="V18" s="20" t="inlineStr">
        <is>
          <t>Open /app/live. Exercise 'Speaker diarization' (Interviewer vs candidate). Confirm happy path for intended role; note plan gates and credit toasts.</t>
        </is>
      </c>
      <c r="W18" s="20" t="inlineStr">
        <is>
          <t>Free+</t>
        </is>
      </c>
      <c r="X18" s="20" t="inlineStr">
        <is>
          <t>0 / N/A</t>
        </is>
      </c>
      <c r="Y18" s="20" t="inlineStr"/>
    </row>
    <row r="19">
      <c r="A19" s="19" t="inlineStr">
        <is>
          <t>FEAT-017</t>
        </is>
      </c>
      <c r="B19" s="19" t="inlineStr">
        <is>
          <t>Live Practice Coach</t>
        </is>
      </c>
      <c r="C19" s="19" t="inlineStr">
        <is>
          <t>Real-time AI hints</t>
        </is>
      </c>
      <c r="D19" s="19" t="inlineStr">
        <is>
          <t>generate-hint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Yes</t>
        </is>
      </c>
      <c r="H19" s="19" t="inlineStr">
        <is>
          <t>Yes</t>
        </is>
      </c>
      <c r="I19" s="19" t="inlineStr">
        <is>
          <t>Yes</t>
        </is>
      </c>
      <c r="J19" s="19" t="inlineStr">
        <is>
          <t>Completed</t>
        </is>
      </c>
      <c r="K19" s="19" t="inlineStr">
        <is>
          <t>Fully Implemented</t>
        </is>
      </c>
      <c r="L19" s="19" t="inlineStr">
        <is>
          <t>In Testing</t>
        </is>
      </c>
      <c r="M19" s="19" t="inlineStr">
        <is>
          <t>Critical</t>
        </is>
      </c>
      <c r="N19" s="19" t="inlineStr">
        <is>
          <t>High</t>
        </is>
      </c>
      <c r="O19" s="19" t="inlineStr">
        <is>
          <t>Live Coach</t>
        </is>
      </c>
      <c r="P19" s="19" t="inlineStr">
        <is>
          <t>Priya Nair</t>
        </is>
      </c>
      <c r="Q19" s="19" t="n">
        <v>3</v>
      </c>
      <c r="R19" s="19" t="n">
        <v>2</v>
      </c>
      <c r="S19" s="19" t="inlineStr">
        <is>
          <t>Credits</t>
        </is>
      </c>
      <c r="T19" s="19" t="inlineStr">
        <is>
          <t>/app/live</t>
        </is>
      </c>
      <c r="U19" s="19">
        <f>IFERROR(Environments!$B$3&amp;T19,T19)</f>
        <v/>
      </c>
      <c r="V19" s="19" t="inlineStr">
        <is>
          <t>Open /app/live. Exercise 'Real-time AI hints' (generate-hint). Confirm happy path for intended role; note plan gates and credit toasts.</t>
        </is>
      </c>
      <c r="W19" s="19" t="inlineStr">
        <is>
          <t>Free+</t>
        </is>
      </c>
      <c r="X19" s="19" t="inlineStr">
        <is>
          <t>2 (live_hint)</t>
        </is>
      </c>
      <c r="Y19" s="19" t="inlineStr"/>
    </row>
    <row r="20">
      <c r="A20" s="20" t="inlineStr">
        <is>
          <t>FEAT-018</t>
        </is>
      </c>
      <c r="B20" s="20" t="inlineStr">
        <is>
          <t>Live Practice Coach</t>
        </is>
      </c>
      <c r="C20" s="20" t="inlineStr">
        <is>
          <t>Streaming AI answers</t>
        </is>
      </c>
      <c r="D20" s="20" t="inlineStr">
        <is>
          <t>generate-answer SSE</t>
        </is>
      </c>
      <c r="E20" s="20" t="inlineStr">
        <is>
          <t>Yes</t>
        </is>
      </c>
      <c r="F20" s="20" t="inlineStr">
        <is>
          <t>Yes</t>
        </is>
      </c>
      <c r="G20" s="20" t="inlineStr">
        <is>
          <t>Yes</t>
        </is>
      </c>
      <c r="H20" s="20" t="inlineStr">
        <is>
          <t>Yes</t>
        </is>
      </c>
      <c r="I20" s="20" t="inlineStr">
        <is>
          <t>Yes</t>
        </is>
      </c>
      <c r="J20" s="20" t="inlineStr">
        <is>
          <t>Completed</t>
        </is>
      </c>
      <c r="K20" s="20" t="inlineStr">
        <is>
          <t>Fully Implemented</t>
        </is>
      </c>
      <c r="L20" s="20" t="inlineStr">
        <is>
          <t>In Testing</t>
        </is>
      </c>
      <c r="M20" s="20" t="inlineStr">
        <is>
          <t>Critical</t>
        </is>
      </c>
      <c r="N20" s="20" t="inlineStr">
        <is>
          <t>Critical</t>
        </is>
      </c>
      <c r="O20" s="20" t="inlineStr">
        <is>
          <t>Live Coach</t>
        </is>
      </c>
      <c r="P20" s="20" t="inlineStr">
        <is>
          <t>Priya Nair</t>
        </is>
      </c>
      <c r="Q20" s="20" t="n">
        <v>5</v>
      </c>
      <c r="R20" s="20" t="n">
        <v>4</v>
      </c>
      <c r="S20" s="20" t="inlineStr">
        <is>
          <t>Free limited; overlay Pro</t>
        </is>
      </c>
      <c r="T20" s="20" t="inlineStr">
        <is>
          <t>/app/live</t>
        </is>
      </c>
      <c r="U20" s="20">
        <f>IFERROR(Environments!$B$3&amp;T20,T20)</f>
        <v/>
      </c>
      <c r="V20" s="20" t="inlineStr">
        <is>
          <t>Open /app/live. Exercise 'Streaming AI answers' (generate-answer SSE). Confirm happy path for intended role; note plan gates and credit toasts.</t>
        </is>
      </c>
      <c r="W20" s="20" t="inlineStr">
        <is>
          <t>Free+</t>
        </is>
      </c>
      <c r="X20" s="20" t="inlineStr">
        <is>
          <t>8 (live_answer)</t>
        </is>
      </c>
      <c r="Y20" s="20" t="inlineStr"/>
    </row>
    <row r="21">
      <c r="A21" s="19" t="inlineStr">
        <is>
          <t>FEAT-019</t>
        </is>
      </c>
      <c r="B21" s="19" t="inlineStr">
        <is>
          <t>Live Practice Coach</t>
        </is>
      </c>
      <c r="C21" s="19" t="inlineStr">
        <is>
          <t>Screenshot/vision capture</t>
        </is>
      </c>
      <c r="D21" s="19" t="inlineStr">
        <is>
          <t>Coding problem OCR/vision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N/A</t>
        </is>
      </c>
      <c r="H21" s="19" t="inlineStr">
        <is>
          <t>Yes</t>
        </is>
      </c>
      <c r="I21" s="19" t="inlineStr">
        <is>
          <t>Yes</t>
        </is>
      </c>
      <c r="J21" s="19" t="inlineStr">
        <is>
          <t>Completed</t>
        </is>
      </c>
      <c r="K21" s="19" t="inlineStr">
        <is>
          <t>Fully Implemented</t>
        </is>
      </c>
      <c r="L21" s="19" t="inlineStr">
        <is>
          <t>In Testing</t>
        </is>
      </c>
      <c r="M21" s="19" t="inlineStr">
        <is>
          <t>High</t>
        </is>
      </c>
      <c r="N21" s="19" t="inlineStr">
        <is>
          <t>High</t>
        </is>
      </c>
      <c r="O21" s="19" t="inlineStr">
        <is>
          <t>Live Coach</t>
        </is>
      </c>
      <c r="P21" s="19" t="inlineStr">
        <is>
          <t>Dev Patel</t>
        </is>
      </c>
      <c r="Q21" s="19" t="n">
        <v>4</v>
      </c>
      <c r="R21" s="19" t="n">
        <v>2</v>
      </c>
      <c r="S21" s="19" t="inlineStr">
        <is>
          <t>Pro gated</t>
        </is>
      </c>
      <c r="T21" s="19" t="inlineStr">
        <is>
          <t>/app/live</t>
        </is>
      </c>
      <c r="U21" s="19">
        <f>IFERROR(Environments!$B$3&amp;T21,T21)</f>
        <v/>
      </c>
      <c r="V21" s="19" t="inlineStr">
        <is>
          <t>Open /app/live. Exercise 'Screenshot/vision capture' (Coding problem OCR/vision). Confirm happy path for intended role; note plan gates and credit toasts.</t>
        </is>
      </c>
      <c r="W21" s="19" t="inlineStr">
        <is>
          <t>Pro+</t>
        </is>
      </c>
      <c r="X21" s="19" t="inlineStr">
        <is>
          <t>10 (screenshot_answer)</t>
        </is>
      </c>
      <c r="Y21" s="19" t="inlineStr"/>
    </row>
    <row r="22">
      <c r="A22" s="20" t="inlineStr">
        <is>
          <t>FEAT-020</t>
        </is>
      </c>
      <c r="B22" s="20" t="inlineStr">
        <is>
          <t>Live Practice Coach</t>
        </is>
      </c>
      <c r="C22" s="20" t="inlineStr">
        <is>
          <t>Stealth mode</t>
        </is>
      </c>
      <c r="D22" s="20" t="inlineStr">
        <is>
          <t>UI labels only</t>
        </is>
      </c>
      <c r="E22" s="20" t="inlineStr">
        <is>
          <t>Yes</t>
        </is>
      </c>
      <c r="F22" s="20" t="inlineStr">
        <is>
          <t>N/A</t>
        </is>
      </c>
      <c r="G22" s="20" t="inlineStr">
        <is>
          <t>N/A</t>
        </is>
      </c>
      <c r="H22" s="20" t="inlineStr">
        <is>
          <t>N/A</t>
        </is>
      </c>
      <c r="I22" s="20" t="inlineStr">
        <is>
          <t>N/A</t>
        </is>
      </c>
      <c r="J22" s="20" t="inlineStr">
        <is>
          <t>In Progress</t>
        </is>
      </c>
      <c r="K22" s="20" t="inlineStr">
        <is>
          <t>Partial</t>
        </is>
      </c>
      <c r="L22" s="20" t="inlineStr">
        <is>
          <t>Failed</t>
        </is>
      </c>
      <c r="M22" s="20" t="inlineStr">
        <is>
          <t>Medium</t>
        </is>
      </c>
      <c r="N22" s="20" t="inlineStr">
        <is>
          <t>Medium</t>
        </is>
      </c>
      <c r="O22" s="20" t="inlineStr">
        <is>
          <t>Desktop</t>
        </is>
      </c>
      <c r="P22" s="20" t="inlineStr">
        <is>
          <t>Dev Patel</t>
        </is>
      </c>
      <c r="Q22" s="20" t="n">
        <v>2</v>
      </c>
      <c r="R22" s="20" t="n">
        <v>0.5</v>
      </c>
      <c r="S22" s="20" t="inlineStr">
        <is>
          <t>No capture evasion</t>
        </is>
      </c>
      <c r="T22" s="20" t="inlineStr">
        <is>
          <t>/app/live</t>
        </is>
      </c>
      <c r="U22" s="20">
        <f>IFERROR(Environments!$B$3&amp;T22,T22)</f>
        <v/>
      </c>
      <c r="V22" s="20" t="inlineStr">
        <is>
          <t>Open /app/live. Exercise 'Stealth mode' (UI labels only). Confirm happy path for intended role; note plan gates and credit toasts.</t>
        </is>
      </c>
      <c r="W22" s="20" t="inlineStr">
        <is>
          <t>Free+</t>
        </is>
      </c>
      <c r="X22" s="20" t="inlineStr">
        <is>
          <t>0 / N/A</t>
        </is>
      </c>
      <c r="Y22" s="20" t="inlineStr"/>
    </row>
    <row r="23">
      <c r="A23" s="19" t="inlineStr">
        <is>
          <t>FEAT-021</t>
        </is>
      </c>
      <c r="B23" s="19" t="inlineStr">
        <is>
          <t>Live Practice Coach</t>
        </is>
      </c>
      <c r="C23" s="19" t="inlineStr">
        <is>
          <t>Panic mode</t>
        </is>
      </c>
      <c r="D23" s="19" t="inlineStr">
        <is>
          <t>Static coaching steps</t>
        </is>
      </c>
      <c r="E23" s="19" t="inlineStr">
        <is>
          <t>Yes</t>
        </is>
      </c>
      <c r="F23" s="19" t="inlineStr">
        <is>
          <t>N/A</t>
        </is>
      </c>
      <c r="G23" s="19" t="inlineStr">
        <is>
          <t>N/A</t>
        </is>
      </c>
      <c r="H23" s="19" t="inlineStr">
        <is>
          <t>N/A</t>
        </is>
      </c>
      <c r="I23" s="19" t="inlineStr">
        <is>
          <t>N/A</t>
        </is>
      </c>
      <c r="J23" s="19" t="inlineStr">
        <is>
          <t>Completed</t>
        </is>
      </c>
      <c r="K23" s="19" t="inlineStr">
        <is>
          <t>Fully Implemented</t>
        </is>
      </c>
      <c r="L23" s="19" t="inlineStr">
        <is>
          <t>Passed</t>
        </is>
      </c>
      <c r="M23" s="19" t="inlineStr">
        <is>
          <t>Medium</t>
        </is>
      </c>
      <c r="N23" s="19" t="inlineStr">
        <is>
          <t>Low</t>
        </is>
      </c>
      <c r="O23" s="19" t="inlineStr">
        <is>
          <t>Live Coach</t>
        </is>
      </c>
      <c r="P23" s="19" t="inlineStr">
        <is>
          <t>Priya Nair</t>
        </is>
      </c>
      <c r="Q23" s="19" t="n">
        <v>1</v>
      </c>
      <c r="R23" s="19" t="n">
        <v>0.5</v>
      </c>
      <c r="S23" s="19" t="inlineStr"/>
      <c r="T23" s="19" t="inlineStr">
        <is>
          <t>/app/live</t>
        </is>
      </c>
      <c r="U23" s="19">
        <f>IFERROR(Environments!$B$3&amp;T23,T23)</f>
        <v/>
      </c>
      <c r="V23" s="19" t="inlineStr">
        <is>
          <t>Open /app/live. Exercise 'Panic mode' (Static coaching steps). Confirm happy path for intended role; note plan gates and credit toasts.</t>
        </is>
      </c>
      <c r="W23" s="19" t="inlineStr">
        <is>
          <t>Free+</t>
        </is>
      </c>
      <c r="X23" s="19" t="inlineStr">
        <is>
          <t>0 / N/A</t>
        </is>
      </c>
      <c r="Y23" s="19" t="inlineStr"/>
    </row>
    <row r="24">
      <c r="A24" s="20" t="inlineStr">
        <is>
          <t>FEAT-022</t>
        </is>
      </c>
      <c r="B24" s="20" t="inlineStr">
        <is>
          <t>Mock Interview</t>
        </is>
      </c>
      <c r="C24" s="20" t="inlineStr">
        <is>
          <t>Mock interview session</t>
        </is>
      </c>
      <c r="D24" s="20" t="inlineStr">
        <is>
          <t>Timed AI mock</t>
        </is>
      </c>
      <c r="E24" s="20" t="inlineStr">
        <is>
          <t>Yes</t>
        </is>
      </c>
      <c r="F24" s="20" t="inlineStr">
        <is>
          <t>Yes</t>
        </is>
      </c>
      <c r="G24" s="20" t="inlineStr">
        <is>
          <t>Yes</t>
        </is>
      </c>
      <c r="H24" s="20" t="inlineStr">
        <is>
          <t>Yes</t>
        </is>
      </c>
      <c r="I24" s="20" t="inlineStr">
        <is>
          <t>Yes</t>
        </is>
      </c>
      <c r="J24" s="20" t="inlineStr">
        <is>
          <t>In Progress</t>
        </is>
      </c>
      <c r="K24" s="20" t="inlineStr">
        <is>
          <t>Partial</t>
        </is>
      </c>
      <c r="L24" s="20" t="inlineStr">
        <is>
          <t>In Testing</t>
        </is>
      </c>
      <c r="M24" s="20" t="inlineStr">
        <is>
          <t>High</t>
        </is>
      </c>
      <c r="N24" s="20" t="inlineStr">
        <is>
          <t>High</t>
        </is>
      </c>
      <c r="O24" s="20" t="inlineStr">
        <is>
          <t>Live Coach</t>
        </is>
      </c>
      <c r="P24" s="20" t="inlineStr">
        <is>
          <t>Priya Nair</t>
        </is>
      </c>
      <c r="Q24" s="20" t="n">
        <v>6</v>
      </c>
      <c r="R24" s="20" t="n">
        <v>3</v>
      </c>
      <c r="S24" s="20" t="inlineStr">
        <is>
          <t>No TTS</t>
        </is>
      </c>
      <c r="T24" s="20" t="inlineStr">
        <is>
          <t>/app/mock</t>
        </is>
      </c>
      <c r="U24" s="20">
        <f>IFERROR(Environments!$B$3&amp;T24,T24)</f>
        <v/>
      </c>
      <c r="V24" s="20" t="inlineStr">
        <is>
          <t>Open /app/mock. Exercise 'Mock interview session' (Timed AI mock). Confirm happy path for intended role; note plan gates and credit toasts.</t>
        </is>
      </c>
      <c r="W24" s="20" t="inlineStr">
        <is>
          <t>Free+</t>
        </is>
      </c>
      <c r="X24" s="20" t="inlineStr">
        <is>
          <t>0 / N/A</t>
        </is>
      </c>
      <c r="Y24" s="20" t="inlineStr"/>
    </row>
    <row r="25">
      <c r="A25" s="19" t="inlineStr">
        <is>
          <t>FEAT-023</t>
        </is>
      </c>
      <c r="B25" s="19" t="inlineStr">
        <is>
          <t>Mock Interview</t>
        </is>
      </c>
      <c r="C25" s="19" t="inlineStr">
        <is>
          <t>Mock warm-up</t>
        </is>
      </c>
      <c r="D25" s="19" t="inlineStr">
        <is>
          <t>Warm-up questions</t>
        </is>
      </c>
      <c r="E25" s="19" t="inlineStr">
        <is>
          <t>Yes</t>
        </is>
      </c>
      <c r="F25" s="19" t="inlineStr">
        <is>
          <t>N/A</t>
        </is>
      </c>
      <c r="G25" s="19" t="inlineStr">
        <is>
          <t>N/A</t>
        </is>
      </c>
      <c r="H25" s="19" t="inlineStr">
        <is>
          <t>N/A</t>
        </is>
      </c>
      <c r="I25" s="19" t="inlineStr">
        <is>
          <t>N/A</t>
        </is>
      </c>
      <c r="J25" s="19" t="inlineStr">
        <is>
          <t>Completed</t>
        </is>
      </c>
      <c r="K25" s="19" t="inlineStr">
        <is>
          <t>Partial</t>
        </is>
      </c>
      <c r="L25" s="19" t="inlineStr">
        <is>
          <t>Passed</t>
        </is>
      </c>
      <c r="M25" s="19" t="inlineStr">
        <is>
          <t>Medium</t>
        </is>
      </c>
      <c r="N25" s="19" t="inlineStr">
        <is>
          <t>Low</t>
        </is>
      </c>
      <c r="O25" s="19" t="inlineStr">
        <is>
          <t>Live Coach</t>
        </is>
      </c>
      <c r="P25" s="19" t="inlineStr">
        <is>
          <t>Priya Nair</t>
        </is>
      </c>
      <c r="Q25" s="19" t="n">
        <v>1.5</v>
      </c>
      <c r="R25" s="19" t="n">
        <v>1</v>
      </c>
      <c r="S25" s="19" t="inlineStr">
        <is>
          <t>WARMUP_MAX copy fixed</t>
        </is>
      </c>
      <c r="T25" s="19" t="inlineStr">
        <is>
          <t>/app/mock</t>
        </is>
      </c>
      <c r="U25" s="19">
        <f>IFERROR(Environments!$B$3&amp;T25,T25)</f>
        <v/>
      </c>
      <c r="V25" s="19" t="inlineStr">
        <is>
          <t>Open /app/mock. Exercise 'Mock warm-up' (Warm-up questions). Confirm happy path for intended role; note plan gates and credit toasts.</t>
        </is>
      </c>
      <c r="W25" s="19" t="inlineStr">
        <is>
          <t>Free+</t>
        </is>
      </c>
      <c r="X25" s="19" t="inlineStr">
        <is>
          <t>0 / N/A</t>
        </is>
      </c>
      <c r="Y25" s="19" t="inlineStr"/>
    </row>
    <row r="26">
      <c r="A26" s="20" t="inlineStr">
        <is>
          <t>FEAT-024</t>
        </is>
      </c>
      <c r="B26" s="20" t="inlineStr">
        <is>
          <t>Mock Interview</t>
        </is>
      </c>
      <c r="C26" s="20" t="inlineStr">
        <is>
          <t>Mock TTS playback</t>
        </is>
      </c>
      <c r="D26" s="20" t="inlineStr">
        <is>
          <t>Spoken questions</t>
        </is>
      </c>
      <c r="E26" s="20" t="inlineStr">
        <is>
          <t>No</t>
        </is>
      </c>
      <c r="F26" s="20" t="inlineStr">
        <is>
          <t>No</t>
        </is>
      </c>
      <c r="G26" s="20" t="inlineStr">
        <is>
          <t>N/A</t>
        </is>
      </c>
      <c r="H26" s="20" t="inlineStr">
        <is>
          <t>No</t>
        </is>
      </c>
      <c r="I26" s="20" t="inlineStr">
        <is>
          <t>No</t>
        </is>
      </c>
      <c r="J26" s="20" t="inlineStr">
        <is>
          <t>Not Started</t>
        </is>
      </c>
      <c r="K26" s="20" t="inlineStr">
        <is>
          <t>Not Built</t>
        </is>
      </c>
      <c r="L26" s="20" t="inlineStr">
        <is>
          <t>Not Tested</t>
        </is>
      </c>
      <c r="M26" s="20" t="inlineStr">
        <is>
          <t>High</t>
        </is>
      </c>
      <c r="N26" s="20" t="inlineStr">
        <is>
          <t>Medium</t>
        </is>
      </c>
      <c r="O26" s="20" t="inlineStr">
        <is>
          <t>Live Coach</t>
        </is>
      </c>
      <c r="P26" s="20" t="inlineStr">
        <is>
          <t>Priya Nair</t>
        </is>
      </c>
      <c r="Q26" s="20" t="n">
        <v>8</v>
      </c>
      <c r="R26" s="20" t="n">
        <v>0</v>
      </c>
      <c r="S26" s="20" t="inlineStr">
        <is>
          <t>Roadmap</t>
        </is>
      </c>
      <c r="T26" s="20" t="inlineStr">
        <is>
          <t>/app/mock</t>
        </is>
      </c>
      <c r="U26" s="20">
        <f>IFERROR(Environments!$B$3&amp;T26,T26)</f>
        <v/>
      </c>
      <c r="V26" s="20" t="inlineStr">
        <is>
          <t>Open /app/mock. Exercise 'Mock TTS playback' (Spoken questions). Confirm happy path for intended role; note plan gates and credit toasts.</t>
        </is>
      </c>
      <c r="W26" s="20" t="inlineStr">
        <is>
          <t>Free+</t>
        </is>
      </c>
      <c r="X26" s="20" t="inlineStr">
        <is>
          <t>0 / N/A</t>
        </is>
      </c>
      <c r="Y26" s="20" t="inlineStr">
        <is>
          <t>BUG-OPEN-04</t>
        </is>
      </c>
    </row>
    <row r="27">
      <c r="A27" s="19" t="inlineStr">
        <is>
          <t>FEAT-025</t>
        </is>
      </c>
      <c r="B27" s="19" t="inlineStr">
        <is>
          <t>Sessions &amp; Debriefs</t>
        </is>
      </c>
      <c r="C27" s="19" t="inlineStr">
        <is>
          <t>Session history list</t>
        </is>
      </c>
      <c r="D27" s="19" t="inlineStr">
        <is>
          <t>Past sessions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Yes</t>
        </is>
      </c>
      <c r="H27" s="19" t="inlineStr">
        <is>
          <t>Yes</t>
        </is>
      </c>
      <c r="I27" s="19" t="inlineStr">
        <is>
          <t>N/A</t>
        </is>
      </c>
      <c r="J27" s="19" t="inlineStr">
        <is>
          <t>Completed</t>
        </is>
      </c>
      <c r="K27" s="19" t="inlineStr">
        <is>
          <t>Fully Implemented</t>
        </is>
      </c>
      <c r="L27" s="19" t="inlineStr">
        <is>
          <t>Passed</t>
        </is>
      </c>
      <c r="M27" s="19" t="inlineStr">
        <is>
          <t>High</t>
        </is>
      </c>
      <c r="N27" s="19" t="inlineStr">
        <is>
          <t>Low</t>
        </is>
      </c>
      <c r="O27" s="19" t="inlineStr">
        <is>
          <t>Sessions</t>
        </is>
      </c>
      <c r="P27" s="19" t="inlineStr">
        <is>
          <t>Priya Nair</t>
        </is>
      </c>
      <c r="Q27" s="19" t="n">
        <v>2</v>
      </c>
      <c r="R27" s="19" t="n">
        <v>1.5</v>
      </c>
      <c r="S27" s="19" t="inlineStr"/>
      <c r="T27" s="19" t="inlineStr">
        <is>
          <t>/app/sessions</t>
        </is>
      </c>
      <c r="U27" s="19">
        <f>IFERROR(Environments!$B$3&amp;T27,T27)</f>
        <v/>
      </c>
      <c r="V27" s="19" t="inlineStr">
        <is>
          <t>Open /app/sessions. Exercise 'Session history list' (Past sessions). Confirm happy path for intended role; note plan gates and credit toasts.</t>
        </is>
      </c>
      <c r="W27" s="19" t="inlineStr">
        <is>
          <t>Free+</t>
        </is>
      </c>
      <c r="X27" s="19" t="inlineStr">
        <is>
          <t>0 / N/A</t>
        </is>
      </c>
      <c r="Y27" s="19" t="inlineStr"/>
    </row>
    <row r="28">
      <c r="A28" s="20" t="inlineStr">
        <is>
          <t>FEAT-026</t>
        </is>
      </c>
      <c r="B28" s="20" t="inlineStr">
        <is>
          <t>Sessions &amp; Debriefs</t>
        </is>
      </c>
      <c r="C28" s="20" t="inlineStr">
        <is>
          <t>Session detail scores</t>
        </is>
      </c>
      <c r="D28" s="20" t="inlineStr">
        <is>
          <t>Dimension breakdown</t>
        </is>
      </c>
      <c r="E28" s="20" t="inlineStr">
        <is>
          <t>Yes</t>
        </is>
      </c>
      <c r="F28" s="20" t="inlineStr">
        <is>
          <t>Yes</t>
        </is>
      </c>
      <c r="G28" s="20" t="inlineStr">
        <is>
          <t>Yes</t>
        </is>
      </c>
      <c r="H28" s="20" t="inlineStr">
        <is>
          <t>N/A</t>
        </is>
      </c>
      <c r="I28" s="20" t="inlineStr">
        <is>
          <t>N/A</t>
        </is>
      </c>
      <c r="J28" s="20" t="inlineStr">
        <is>
          <t>Completed</t>
        </is>
      </c>
      <c r="K28" s="20" t="inlineStr">
        <is>
          <t>Fully Implemented</t>
        </is>
      </c>
      <c r="L28" s="20" t="inlineStr">
        <is>
          <t>Passed</t>
        </is>
      </c>
      <c r="M28" s="20" t="inlineStr">
        <is>
          <t>High</t>
        </is>
      </c>
      <c r="N28" s="20" t="inlineStr">
        <is>
          <t>Medium</t>
        </is>
      </c>
      <c r="O28" s="20" t="inlineStr">
        <is>
          <t>Sessions</t>
        </is>
      </c>
      <c r="P28" s="20" t="inlineStr">
        <is>
          <t>Priya Nair</t>
        </is>
      </c>
      <c r="Q28" s="20" t="n">
        <v>2</v>
      </c>
      <c r="R28" s="20" t="n">
        <v>1.5</v>
      </c>
      <c r="S28" s="20" t="inlineStr">
        <is>
          <t>Null=Not scored P1-7</t>
        </is>
      </c>
      <c r="T28" s="20" t="inlineStr">
        <is>
          <t>/app/sessions</t>
        </is>
      </c>
      <c r="U28" s="20">
        <f>IFERROR(Environments!$B$3&amp;T28,T28)</f>
        <v/>
      </c>
      <c r="V28" s="20" t="inlineStr">
        <is>
          <t>Open /app/sessions. Exercise 'Session detail scores' (Dimension breakdown). Confirm happy path for intended role; note plan gates and credit toasts.</t>
        </is>
      </c>
      <c r="W28" s="20" t="inlineStr">
        <is>
          <t>Free+</t>
        </is>
      </c>
      <c r="X28" s="20" t="inlineStr">
        <is>
          <t>0 / N/A</t>
        </is>
      </c>
      <c r="Y28" s="20" t="inlineStr"/>
    </row>
    <row r="29">
      <c r="A29" s="19" t="inlineStr">
        <is>
          <t>FEAT-027</t>
        </is>
      </c>
      <c r="B29" s="19" t="inlineStr">
        <is>
          <t>Sessions &amp; Debriefs</t>
        </is>
      </c>
      <c r="C29" s="19" t="inlineStr">
        <is>
          <t>AI Debrief</t>
        </is>
      </c>
      <c r="D29" s="19" t="inlineStr">
        <is>
          <t>generate-debrief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Yes</t>
        </is>
      </c>
      <c r="H29" s="19" t="inlineStr">
        <is>
          <t>Yes</t>
        </is>
      </c>
      <c r="I29" s="19" t="inlineStr">
        <is>
          <t>Yes</t>
        </is>
      </c>
      <c r="J29" s="19" t="inlineStr">
        <is>
          <t>Completed</t>
        </is>
      </c>
      <c r="K29" s="19" t="inlineStr">
        <is>
          <t>Fully Implemented</t>
        </is>
      </c>
      <c r="L29" s="19" t="inlineStr">
        <is>
          <t>Passed</t>
        </is>
      </c>
      <c r="M29" s="19" t="inlineStr">
        <is>
          <t>High</t>
        </is>
      </c>
      <c r="N29" s="19" t="inlineStr">
        <is>
          <t>Medium</t>
        </is>
      </c>
      <c r="O29" s="19" t="inlineStr">
        <is>
          <t>Sessions</t>
        </is>
      </c>
      <c r="P29" s="19" t="inlineStr">
        <is>
          <t>Priya Nair</t>
        </is>
      </c>
      <c r="Q29" s="19" t="n">
        <v>3</v>
      </c>
      <c r="R29" s="19" t="n">
        <v>2</v>
      </c>
      <c r="S29" s="19" t="inlineStr"/>
      <c r="T29" s="19" t="inlineStr">
        <is>
          <t>/app/sessions</t>
        </is>
      </c>
      <c r="U29" s="19">
        <f>IFERROR(Environments!$B$3&amp;T29,T29)</f>
        <v/>
      </c>
      <c r="V29" s="19" t="inlineStr">
        <is>
          <t>Open /app/sessions. Exercise 'AI Debrief' (generate-debrief). Confirm happy path for intended role; note plan gates and credit toasts.</t>
        </is>
      </c>
      <c r="W29" s="19" t="inlineStr">
        <is>
          <t>Free+</t>
        </is>
      </c>
      <c r="X29" s="19" t="inlineStr">
        <is>
          <t>15 (session_debrief)</t>
        </is>
      </c>
      <c r="Y29" s="19" t="inlineStr"/>
    </row>
    <row r="30">
      <c r="A30" s="20" t="inlineStr">
        <is>
          <t>FEAT-028</t>
        </is>
      </c>
      <c r="B30" s="20" t="inlineStr">
        <is>
          <t>Sessions &amp; Debriefs</t>
        </is>
      </c>
      <c r="C30" s="20" t="inlineStr">
        <is>
          <t>Debrief public share</t>
        </is>
      </c>
      <c r="D30" s="20" t="inlineStr">
        <is>
          <t>Share token link</t>
        </is>
      </c>
      <c r="E30" s="20" t="inlineStr">
        <is>
          <t>Yes</t>
        </is>
      </c>
      <c r="F30" s="20" t="inlineStr">
        <is>
          <t>Yes</t>
        </is>
      </c>
      <c r="G30" s="20" t="inlineStr">
        <is>
          <t>Yes</t>
        </is>
      </c>
      <c r="H30" s="20" t="inlineStr">
        <is>
          <t>Yes</t>
        </is>
      </c>
      <c r="I30" s="20" t="inlineStr">
        <is>
          <t>N/A</t>
        </is>
      </c>
      <c r="J30" s="20" t="inlineStr">
        <is>
          <t>Completed</t>
        </is>
      </c>
      <c r="K30" s="20" t="inlineStr">
        <is>
          <t>Fully Implemented</t>
        </is>
      </c>
      <c r="L30" s="20" t="inlineStr">
        <is>
          <t>In Testing</t>
        </is>
      </c>
      <c r="M30" s="20" t="inlineStr">
        <is>
          <t>Medium</t>
        </is>
      </c>
      <c r="N30" s="20" t="inlineStr">
        <is>
          <t>Low</t>
        </is>
      </c>
      <c r="O30" s="20" t="inlineStr">
        <is>
          <t>Sessions</t>
        </is>
      </c>
      <c r="P30" s="20" t="inlineStr">
        <is>
          <t>Priya Nair</t>
        </is>
      </c>
      <c r="Q30" s="20" t="n">
        <v>2</v>
      </c>
      <c r="R30" s="20" t="n">
        <v>1</v>
      </c>
      <c r="S30" s="20" t="inlineStr"/>
      <c r="T30" s="20" t="inlineStr">
        <is>
          <t>/app/sessions</t>
        </is>
      </c>
      <c r="U30" s="20">
        <f>IFERROR(Environments!$B$3&amp;T30,T30)</f>
        <v/>
      </c>
      <c r="V30" s="20" t="inlineStr">
        <is>
          <t>Open /app/sessions. Exercise 'Debrief public share' (Share token link). Confirm happy path for intended role; note plan gates and credit toasts.</t>
        </is>
      </c>
      <c r="W30" s="20" t="inlineStr">
        <is>
          <t>Free+</t>
        </is>
      </c>
      <c r="X30" s="20" t="inlineStr">
        <is>
          <t>0 / N/A</t>
        </is>
      </c>
      <c r="Y30" s="20" t="inlineStr"/>
    </row>
    <row r="31">
      <c r="A31" s="19" t="inlineStr">
        <is>
          <t>FEAT-029</t>
        </is>
      </c>
      <c r="B31" s="19" t="inlineStr">
        <is>
          <t>Sessions &amp; Debriefs</t>
        </is>
      </c>
      <c r="C31" s="19" t="inlineStr">
        <is>
          <t>Scorecard</t>
        </is>
      </c>
      <c r="D31" s="19" t="inlineStr">
        <is>
          <t>Client Gemini scoring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Yes</t>
        </is>
      </c>
      <c r="H31" s="19" t="inlineStr">
        <is>
          <t>Yes</t>
        </is>
      </c>
      <c r="I31" s="19" t="inlineStr">
        <is>
          <t>Partial</t>
        </is>
      </c>
      <c r="J31" s="19" t="inlineStr">
        <is>
          <t>Completed</t>
        </is>
      </c>
      <c r="K31" s="19" t="inlineStr">
        <is>
          <t>Fully Implemented</t>
        </is>
      </c>
      <c r="L31" s="19" t="inlineStr">
        <is>
          <t>In Testing</t>
        </is>
      </c>
      <c r="M31" s="19" t="inlineStr">
        <is>
          <t>High</t>
        </is>
      </c>
      <c r="N31" s="19" t="inlineStr">
        <is>
          <t>Medium</t>
        </is>
      </c>
      <c r="O31" s="19" t="inlineStr">
        <is>
          <t>Sessions</t>
        </is>
      </c>
      <c r="P31" s="19" t="inlineStr">
        <is>
          <t>Priya Nair</t>
        </is>
      </c>
      <c r="Q31" s="19" t="n">
        <v>3</v>
      </c>
      <c r="R31" s="19" t="n">
        <v>1.5</v>
      </c>
      <c r="S31" s="19" t="inlineStr"/>
      <c r="T31" s="19" t="inlineStr">
        <is>
          <t>/app/sessions</t>
        </is>
      </c>
      <c r="U31" s="19">
        <f>IFERROR(Environments!$B$3&amp;T31,T31)</f>
        <v/>
      </c>
      <c r="V31" s="19" t="inlineStr">
        <is>
          <t>Open /app/sessions. Exercise 'Scorecard' (Client Gemini scoring). Confirm happy path for intended role; note plan gates and credit toasts.</t>
        </is>
      </c>
      <c r="W31" s="19" t="inlineStr">
        <is>
          <t>Free+</t>
        </is>
      </c>
      <c r="X31" s="19" t="inlineStr">
        <is>
          <t>0 / N/A</t>
        </is>
      </c>
      <c r="Y31" s="19" t="inlineStr"/>
    </row>
    <row r="32">
      <c r="A32" s="20" t="inlineStr">
        <is>
          <t>FEAT-030</t>
        </is>
      </c>
      <c r="B32" s="20" t="inlineStr">
        <is>
          <t>Analytics &amp; Usage</t>
        </is>
      </c>
      <c r="C32" s="20" t="inlineStr">
        <is>
          <t>Analytics dashboard</t>
        </is>
      </c>
      <c r="D32" s="20" t="inlineStr">
        <is>
          <t>Trends WPM fillers</t>
        </is>
      </c>
      <c r="E32" s="20" t="inlineStr">
        <is>
          <t>Yes</t>
        </is>
      </c>
      <c r="F32" s="20" t="inlineStr">
        <is>
          <t>Yes</t>
        </is>
      </c>
      <c r="G32" s="20" t="inlineStr">
        <is>
          <t>Yes</t>
        </is>
      </c>
      <c r="H32" s="20" t="inlineStr">
        <is>
          <t>Yes</t>
        </is>
      </c>
      <c r="I32" s="20" t="inlineStr">
        <is>
          <t>Yes</t>
        </is>
      </c>
      <c r="J32" s="20" t="inlineStr">
        <is>
          <t>Completed</t>
        </is>
      </c>
      <c r="K32" s="20" t="inlineStr">
        <is>
          <t>Fully Implemented</t>
        </is>
      </c>
      <c r="L32" s="20" t="inlineStr">
        <is>
          <t>Passed</t>
        </is>
      </c>
      <c r="M32" s="20" t="inlineStr">
        <is>
          <t>Medium</t>
        </is>
      </c>
      <c r="N32" s="20" t="inlineStr">
        <is>
          <t>Low</t>
        </is>
      </c>
      <c r="O32" s="20" t="inlineStr">
        <is>
          <t>Analytics</t>
        </is>
      </c>
      <c r="P32" s="20" t="inlineStr">
        <is>
          <t>Rohan Mehta</t>
        </is>
      </c>
      <c r="Q32" s="20" t="n">
        <v>3</v>
      </c>
      <c r="R32" s="20" t="n">
        <v>2</v>
      </c>
      <c r="S32" s="20" t="inlineStr">
        <is>
          <t>total_sessions fix P2-8</t>
        </is>
      </c>
      <c r="T32" s="20" t="inlineStr">
        <is>
          <t>/app/analytics</t>
        </is>
      </c>
      <c r="U32" s="20">
        <f>IFERROR(Environments!$B$3&amp;T32,T32)</f>
        <v/>
      </c>
      <c r="V32" s="20" t="inlineStr">
        <is>
          <t>Open /app/analytics. Exercise 'Analytics dashboard' (Trends WPM fillers). Confirm happy path for intended role; note plan gates and credit toasts.</t>
        </is>
      </c>
      <c r="W32" s="20" t="inlineStr">
        <is>
          <t>Free+</t>
        </is>
      </c>
      <c r="X32" s="20" t="inlineStr">
        <is>
          <t>0 / N/A</t>
        </is>
      </c>
      <c r="Y32" s="20" t="inlineStr"/>
    </row>
    <row r="33">
      <c r="A33" s="19" t="inlineStr">
        <is>
          <t>FEAT-031</t>
        </is>
      </c>
      <c r="B33" s="19" t="inlineStr">
        <is>
          <t>Analytics &amp; Usage</t>
        </is>
      </c>
      <c r="C33" s="19" t="inlineStr">
        <is>
          <t>Credits usage dashboard</t>
        </is>
      </c>
      <c r="D33" s="19" t="inlineStr">
        <is>
          <t>Ledger view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Yes</t>
        </is>
      </c>
      <c r="H33" s="19" t="inlineStr">
        <is>
          <t>Yes</t>
        </is>
      </c>
      <c r="I33" s="19" t="inlineStr">
        <is>
          <t>N/A</t>
        </is>
      </c>
      <c r="J33" s="19" t="inlineStr">
        <is>
          <t>Completed</t>
        </is>
      </c>
      <c r="K33" s="19" t="inlineStr">
        <is>
          <t>Fully Implemented</t>
        </is>
      </c>
      <c r="L33" s="19" t="inlineStr">
        <is>
          <t>Passed</t>
        </is>
      </c>
      <c r="M33" s="19" t="inlineStr">
        <is>
          <t>High</t>
        </is>
      </c>
      <c r="N33" s="19" t="inlineStr">
        <is>
          <t>Medium</t>
        </is>
      </c>
      <c r="O33" s="19" t="inlineStr">
        <is>
          <t>Billing</t>
        </is>
      </c>
      <c r="P33" s="19" t="inlineStr">
        <is>
          <t>Asha Sharma</t>
        </is>
      </c>
      <c r="Q33" s="19" t="n">
        <v>2</v>
      </c>
      <c r="R33" s="19" t="n">
        <v>1.5</v>
      </c>
      <c r="S33" s="19" t="inlineStr"/>
      <c r="T33" s="19" t="inlineStr">
        <is>
          <t>/app/usage</t>
        </is>
      </c>
      <c r="U33" s="19">
        <f>IFERROR(Environments!$B$3&amp;T33,T33)</f>
        <v/>
      </c>
      <c r="V33" s="19" t="inlineStr">
        <is>
          <t>Open /app/usage. Exercise 'Credits usage dashboard' (Ledger view). Confirm happy path for intended role; note plan gates and credit toasts.</t>
        </is>
      </c>
      <c r="W33" s="19" t="inlineStr">
        <is>
          <t>Free+</t>
        </is>
      </c>
      <c r="X33" s="19" t="inlineStr">
        <is>
          <t>0 / N/A</t>
        </is>
      </c>
      <c r="Y33" s="19" t="inlineStr"/>
    </row>
    <row r="34">
      <c r="A34" s="20" t="inlineStr">
        <is>
          <t>FEAT-032</t>
        </is>
      </c>
      <c r="B34" s="20" t="inlineStr">
        <is>
          <t>Prep Lab</t>
        </is>
      </c>
      <c r="C34" s="20" t="inlineStr">
        <is>
          <t>Prep Lab hub</t>
        </is>
      </c>
      <c r="D34" s="20" t="inlineStr">
        <is>
          <t>Tool launcher</t>
        </is>
      </c>
      <c r="E34" s="20" t="inlineStr">
        <is>
          <t>Yes</t>
        </is>
      </c>
      <c r="F34" s="20" t="inlineStr">
        <is>
          <t>Yes</t>
        </is>
      </c>
      <c r="G34" s="20" t="inlineStr">
        <is>
          <t>N/A</t>
        </is>
      </c>
      <c r="H34" s="20" t="inlineStr">
        <is>
          <t>Yes</t>
        </is>
      </c>
      <c r="I34" s="20" t="inlineStr">
        <is>
          <t>Yes</t>
        </is>
      </c>
      <c r="J34" s="20" t="inlineStr">
        <is>
          <t>Completed</t>
        </is>
      </c>
      <c r="K34" s="20" t="inlineStr">
        <is>
          <t>Fully Implemented</t>
        </is>
      </c>
      <c r="L34" s="20" t="inlineStr">
        <is>
          <t>Passed</t>
        </is>
      </c>
      <c r="M34" s="20" t="inlineStr">
        <is>
          <t>High</t>
        </is>
      </c>
      <c r="N34" s="20" t="inlineStr">
        <is>
          <t>Low</t>
        </is>
      </c>
      <c r="O34" s="20" t="inlineStr">
        <is>
          <t>Prep</t>
        </is>
      </c>
      <c r="P34" s="20" t="inlineStr">
        <is>
          <t>Asha Sharma</t>
        </is>
      </c>
      <c r="Q34" s="20" t="n">
        <v>1</v>
      </c>
      <c r="R34" s="20" t="n">
        <v>0.5</v>
      </c>
      <c r="S34" s="20" t="inlineStr"/>
      <c r="T34" s="20" t="inlineStr">
        <is>
          <t>/app/prep</t>
        </is>
      </c>
      <c r="U34" s="20">
        <f>IFERROR(Environments!$B$3&amp;T34,T34)</f>
        <v/>
      </c>
      <c r="V34" s="20" t="inlineStr">
        <is>
          <t>Open /app/prep. Exercise 'Prep Lab hub' (Tool launcher). Confirm happy path for intended role; note plan gates and credit toasts.</t>
        </is>
      </c>
      <c r="W34" s="20" t="inlineStr">
        <is>
          <t>Free+</t>
        </is>
      </c>
      <c r="X34" s="20" t="inlineStr">
        <is>
          <t>0 / N/A</t>
        </is>
      </c>
      <c r="Y34" s="20" t="inlineStr"/>
    </row>
    <row r="35">
      <c r="A35" s="19" t="inlineStr">
        <is>
          <t>FEAT-033</t>
        </is>
      </c>
      <c r="B35" s="19" t="inlineStr">
        <is>
          <t>Prep Lab</t>
        </is>
      </c>
      <c r="C35" s="19" t="inlineStr">
        <is>
          <t>STAR Builder</t>
        </is>
      </c>
      <c r="D35" s="19" t="inlineStr">
        <is>
          <t>STAR answer builder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Yes</t>
        </is>
      </c>
      <c r="H35" s="19" t="inlineStr">
        <is>
          <t>Yes</t>
        </is>
      </c>
      <c r="I35" s="19" t="inlineStr">
        <is>
          <t>Yes</t>
        </is>
      </c>
      <c r="J35" s="19" t="inlineStr">
        <is>
          <t>Completed</t>
        </is>
      </c>
      <c r="K35" s="19" t="inlineStr">
        <is>
          <t>Fully Implemented</t>
        </is>
      </c>
      <c r="L35" s="19" t="inlineStr">
        <is>
          <t>Passed</t>
        </is>
      </c>
      <c r="M35" s="19" t="inlineStr">
        <is>
          <t>High</t>
        </is>
      </c>
      <c r="N35" s="19" t="inlineStr">
        <is>
          <t>Medium</t>
        </is>
      </c>
      <c r="O35" s="19" t="inlineStr">
        <is>
          <t>Prep</t>
        </is>
      </c>
      <c r="P35" s="19" t="inlineStr">
        <is>
          <t>Asha Sharma</t>
        </is>
      </c>
      <c r="Q35" s="19" t="n">
        <v>3</v>
      </c>
      <c r="R35" s="19" t="n">
        <v>2</v>
      </c>
      <c r="S35" s="19" t="inlineStr">
        <is>
          <t>Cost from economics</t>
        </is>
      </c>
      <c r="T35" s="19" t="inlineStr">
        <is>
          <t>/app/prep</t>
        </is>
      </c>
      <c r="U35" s="19">
        <f>IFERROR(Environments!$B$3&amp;T35,T35)</f>
        <v/>
      </c>
      <c r="V35" s="19" t="inlineStr">
        <is>
          <t>Open /app/prep. Exercise 'STAR Builder' (STAR answer builder). Confirm happy path for intended role; note plan gates and credit toasts.</t>
        </is>
      </c>
      <c r="W35" s="19" t="inlineStr">
        <is>
          <t>Free+</t>
        </is>
      </c>
      <c r="X35" s="19" t="inlineStr">
        <is>
          <t>10 (star_builder)</t>
        </is>
      </c>
      <c r="Y35" s="19" t="inlineStr"/>
    </row>
    <row r="36">
      <c r="A36" s="20" t="inlineStr">
        <is>
          <t>FEAT-034</t>
        </is>
      </c>
      <c r="B36" s="20" t="inlineStr">
        <is>
          <t>Prep Lab</t>
        </is>
      </c>
      <c r="C36" s="20" t="inlineStr">
        <is>
          <t>Project Builder</t>
        </is>
      </c>
      <c r="D36" s="20" t="inlineStr">
        <is>
          <t>Project drafts</t>
        </is>
      </c>
      <c r="E36" s="20" t="inlineStr">
        <is>
          <t>Yes</t>
        </is>
      </c>
      <c r="F36" s="20" t="inlineStr">
        <is>
          <t>Partial</t>
        </is>
      </c>
      <c r="G36" s="20" t="inlineStr">
        <is>
          <t>N/A</t>
        </is>
      </c>
      <c r="H36" s="20" t="inlineStr">
        <is>
          <t>Yes</t>
        </is>
      </c>
      <c r="I36" s="20" t="inlineStr">
        <is>
          <t>Yes</t>
        </is>
      </c>
      <c r="J36" s="20" t="inlineStr">
        <is>
          <t>Completed</t>
        </is>
      </c>
      <c r="K36" s="20" t="inlineStr">
        <is>
          <t>Fully Implemented</t>
        </is>
      </c>
      <c r="L36" s="20" t="inlineStr">
        <is>
          <t>In Testing</t>
        </is>
      </c>
      <c r="M36" s="20" t="inlineStr">
        <is>
          <t>Medium</t>
        </is>
      </c>
      <c r="N36" s="20" t="inlineStr">
        <is>
          <t>Low</t>
        </is>
      </c>
      <c r="O36" s="20" t="inlineStr">
        <is>
          <t>Prep</t>
        </is>
      </c>
      <c r="P36" s="20" t="inlineStr">
        <is>
          <t>Asha Sharma</t>
        </is>
      </c>
      <c r="Q36" s="20" t="n">
        <v>2</v>
      </c>
      <c r="R36" s="20" t="n">
        <v>1</v>
      </c>
      <c r="S36" s="20" t="inlineStr">
        <is>
          <t>localStorage drafts</t>
        </is>
      </c>
      <c r="T36" s="20" t="inlineStr">
        <is>
          <t>/app/prep</t>
        </is>
      </c>
      <c r="U36" s="20">
        <f>IFERROR(Environments!$B$3&amp;T36,T36)</f>
        <v/>
      </c>
      <c r="V36" s="20" t="inlineStr">
        <is>
          <t>Open /app/prep. Exercise 'Project Builder' (Project drafts). Confirm happy path for intended role; note plan gates and credit toasts.</t>
        </is>
      </c>
      <c r="W36" s="20" t="inlineStr">
        <is>
          <t>Free+</t>
        </is>
      </c>
      <c r="X36" s="20" t="inlineStr">
        <is>
          <t>0 / N/A</t>
        </is>
      </c>
      <c r="Y36" s="20" t="inlineStr"/>
    </row>
    <row r="37">
      <c r="A37" s="19" t="inlineStr">
        <is>
          <t>FEAT-035</t>
        </is>
      </c>
      <c r="B37" s="19" t="inlineStr">
        <is>
          <t>Prep Lab</t>
        </is>
      </c>
      <c r="C37" s="19" t="inlineStr">
        <is>
          <t>Rephraser</t>
        </is>
      </c>
      <c r="D37" s="19" t="inlineStr">
        <is>
          <t>Rewrite answers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N/A</t>
        </is>
      </c>
      <c r="H37" s="19" t="inlineStr">
        <is>
          <t>Yes</t>
        </is>
      </c>
      <c r="I37" s="19" t="inlineStr">
        <is>
          <t>Yes</t>
        </is>
      </c>
      <c r="J37" s="19" t="inlineStr">
        <is>
          <t>Completed</t>
        </is>
      </c>
      <c r="K37" s="19" t="inlineStr">
        <is>
          <t>Fully Implemented</t>
        </is>
      </c>
      <c r="L37" s="19" t="inlineStr">
        <is>
          <t>Passed</t>
        </is>
      </c>
      <c r="M37" s="19" t="inlineStr">
        <is>
          <t>Medium</t>
        </is>
      </c>
      <c r="N37" s="19" t="inlineStr">
        <is>
          <t>Low</t>
        </is>
      </c>
      <c r="O37" s="19" t="inlineStr">
        <is>
          <t>Prep</t>
        </is>
      </c>
      <c r="P37" s="19" t="inlineStr">
        <is>
          <t>Asha Sharma</t>
        </is>
      </c>
      <c r="Q37" s="19" t="n">
        <v>2</v>
      </c>
      <c r="R37" s="19" t="n">
        <v>1.5</v>
      </c>
      <c r="S37" s="19" t="inlineStr">
        <is>
          <t>Error state wired</t>
        </is>
      </c>
      <c r="T37" s="19" t="inlineStr">
        <is>
          <t>/app/prep</t>
        </is>
      </c>
      <c r="U37" s="19">
        <f>IFERROR(Environments!$B$3&amp;T37,T37)</f>
        <v/>
      </c>
      <c r="V37" s="19" t="inlineStr">
        <is>
          <t>Open /app/prep. Exercise 'Rephraser' (Rewrite answers). Confirm happy path for intended role; note plan gates and credit toasts.</t>
        </is>
      </c>
      <c r="W37" s="19" t="inlineStr">
        <is>
          <t>Free+</t>
        </is>
      </c>
      <c r="X37" s="19" t="inlineStr">
        <is>
          <t>3 (rephraser)</t>
        </is>
      </c>
      <c r="Y37" s="19" t="inlineStr"/>
    </row>
    <row r="38">
      <c r="A38" s="20" t="inlineStr">
        <is>
          <t>FEAT-036</t>
        </is>
      </c>
      <c r="B38" s="20" t="inlineStr">
        <is>
          <t>Prep Lab</t>
        </is>
      </c>
      <c r="C38" s="20" t="inlineStr">
        <is>
          <t>Coding Hints catalog</t>
        </is>
      </c>
      <c r="D38" s="20" t="inlineStr">
        <is>
          <t>DB coding hints</t>
        </is>
      </c>
      <c r="E38" s="20" t="inlineStr">
        <is>
          <t>Yes</t>
        </is>
      </c>
      <c r="F38" s="20" t="inlineStr">
        <is>
          <t>Yes</t>
        </is>
      </c>
      <c r="G38" s="20" t="inlineStr">
        <is>
          <t>Yes</t>
        </is>
      </c>
      <c r="H38" s="20" t="inlineStr">
        <is>
          <t>Yes</t>
        </is>
      </c>
      <c r="I38" s="20" t="inlineStr">
        <is>
          <t>N/A</t>
        </is>
      </c>
      <c r="J38" s="20" t="inlineStr">
        <is>
          <t>Completed</t>
        </is>
      </c>
      <c r="K38" s="20" t="inlineStr">
        <is>
          <t>Fully Implemented</t>
        </is>
      </c>
      <c r="L38" s="20" t="inlineStr">
        <is>
          <t>In Testing</t>
        </is>
      </c>
      <c r="M38" s="20" t="inlineStr">
        <is>
          <t>Medium</t>
        </is>
      </c>
      <c r="N38" s="20" t="inlineStr">
        <is>
          <t>Low</t>
        </is>
      </c>
      <c r="O38" s="20" t="inlineStr">
        <is>
          <t>Prep</t>
        </is>
      </c>
      <c r="P38" s="20" t="inlineStr">
        <is>
          <t>Asha Sharma</t>
        </is>
      </c>
      <c r="Q38" s="20" t="n">
        <v>2</v>
      </c>
      <c r="R38" s="20" t="n">
        <v>1</v>
      </c>
      <c r="S38" s="20" t="inlineStr"/>
      <c r="T38" s="20" t="inlineStr">
        <is>
          <t>/app/prep</t>
        </is>
      </c>
      <c r="U38" s="20">
        <f>IFERROR(Environments!$B$3&amp;T38,T38)</f>
        <v/>
      </c>
      <c r="V38" s="20" t="inlineStr">
        <is>
          <t>Open /app/prep. Exercise 'Coding Hints catalog' (DB coding hints). Confirm happy path for intended role; note plan gates and credit toasts.</t>
        </is>
      </c>
      <c r="W38" s="20" t="inlineStr">
        <is>
          <t>Free+</t>
        </is>
      </c>
      <c r="X38" s="20" t="inlineStr">
        <is>
          <t>0 / N/A</t>
        </is>
      </c>
      <c r="Y38" s="20" t="inlineStr"/>
    </row>
    <row r="39">
      <c r="A39" s="19" t="inlineStr">
        <is>
          <t>FEAT-037</t>
        </is>
      </c>
      <c r="B39" s="19" t="inlineStr">
        <is>
          <t>Prep Lab</t>
        </is>
      </c>
      <c r="C39" s="19" t="inlineStr">
        <is>
          <t>System Design topics</t>
        </is>
      </c>
      <c r="D39" s="19" t="inlineStr">
        <is>
          <t>DB topics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Yes</t>
        </is>
      </c>
      <c r="H39" s="19" t="inlineStr">
        <is>
          <t>Yes</t>
        </is>
      </c>
      <c r="I39" s="19" t="inlineStr">
        <is>
          <t>N/A</t>
        </is>
      </c>
      <c r="J39" s="19" t="inlineStr">
        <is>
          <t>Completed</t>
        </is>
      </c>
      <c r="K39" s="19" t="inlineStr">
        <is>
          <t>Fully Implemented</t>
        </is>
      </c>
      <c r="L39" s="19" t="inlineStr">
        <is>
          <t>In Testing</t>
        </is>
      </c>
      <c r="M39" s="19" t="inlineStr">
        <is>
          <t>Medium</t>
        </is>
      </c>
      <c r="N39" s="19" t="inlineStr">
        <is>
          <t>Low</t>
        </is>
      </c>
      <c r="O39" s="19" t="inlineStr">
        <is>
          <t>Prep</t>
        </is>
      </c>
      <c r="P39" s="19" t="inlineStr">
        <is>
          <t>Asha Sharma</t>
        </is>
      </c>
      <c r="Q39" s="19" t="n">
        <v>2</v>
      </c>
      <c r="R39" s="19" t="n">
        <v>1</v>
      </c>
      <c r="S39" s="19" t="inlineStr"/>
      <c r="T39" s="19" t="inlineStr">
        <is>
          <t>/app/prep</t>
        </is>
      </c>
      <c r="U39" s="19">
        <f>IFERROR(Environments!$B$3&amp;T39,T39)</f>
        <v/>
      </c>
      <c r="V39" s="19" t="inlineStr">
        <is>
          <t>Open /app/prep. Exercise 'System Design topics' (DB topics). Confirm happy path for intended role; note plan gates and credit toasts.</t>
        </is>
      </c>
      <c r="W39" s="19" t="inlineStr">
        <is>
          <t>Free+</t>
        </is>
      </c>
      <c r="X39" s="19" t="inlineStr">
        <is>
          <t>0 / N/A</t>
        </is>
      </c>
      <c r="Y39" s="19" t="inlineStr"/>
    </row>
    <row r="40">
      <c r="A40" s="20" t="inlineStr">
        <is>
          <t>FEAT-038</t>
        </is>
      </c>
      <c r="B40" s="20" t="inlineStr">
        <is>
          <t>Prep Lab</t>
        </is>
      </c>
      <c r="C40" s="20" t="inlineStr">
        <is>
          <t>prep-tool AI suite</t>
        </is>
      </c>
      <c r="D40" s="20" t="inlineStr">
        <is>
          <t>12 AI prep tools</t>
        </is>
      </c>
      <c r="E40" s="20" t="inlineStr">
        <is>
          <t>Yes</t>
        </is>
      </c>
      <c r="F40" s="20" t="inlineStr">
        <is>
          <t>Yes</t>
        </is>
      </c>
      <c r="G40" s="20" t="inlineStr">
        <is>
          <t>Yes</t>
        </is>
      </c>
      <c r="H40" s="20" t="inlineStr">
        <is>
          <t>Yes</t>
        </is>
      </c>
      <c r="I40" s="20" t="inlineStr">
        <is>
          <t>Yes</t>
        </is>
      </c>
      <c r="J40" s="20" t="inlineStr">
        <is>
          <t>Completed</t>
        </is>
      </c>
      <c r="K40" s="20" t="inlineStr">
        <is>
          <t>Fully Implemented</t>
        </is>
      </c>
      <c r="L40" s="20" t="inlineStr">
        <is>
          <t>In Testing</t>
        </is>
      </c>
      <c r="M40" s="20" t="inlineStr">
        <is>
          <t>High</t>
        </is>
      </c>
      <c r="N40" s="20" t="inlineStr">
        <is>
          <t>Medium</t>
        </is>
      </c>
      <c r="O40" s="20" t="inlineStr">
        <is>
          <t>Prep</t>
        </is>
      </c>
      <c r="P40" s="20" t="inlineStr">
        <is>
          <t>Asha Sharma</t>
        </is>
      </c>
      <c r="Q40" s="20" t="n">
        <v>4</v>
      </c>
      <c r="R40" s="20" t="n">
        <v>2</v>
      </c>
      <c r="S40" s="20" t="inlineStr"/>
      <c r="T40" s="20" t="inlineStr">
        <is>
          <t>/app/prep</t>
        </is>
      </c>
      <c r="U40" s="20">
        <f>IFERROR(Environments!$B$3&amp;T40,T40)</f>
        <v/>
      </c>
      <c r="V40" s="20" t="inlineStr">
        <is>
          <t>Open /app/prep. Exercise 'prep-tool AI suite' (12 AI prep tools). Confirm happy path for intended role; note plan gates and credit toasts.</t>
        </is>
      </c>
      <c r="W40" s="20" t="inlineStr">
        <is>
          <t>Free+</t>
        </is>
      </c>
      <c r="X40" s="20" t="inlineStr">
        <is>
          <t>0 / N/A</t>
        </is>
      </c>
      <c r="Y40" s="20" t="inlineStr"/>
    </row>
    <row r="41">
      <c r="A41" s="19" t="inlineStr">
        <is>
          <t>FEAT-039</t>
        </is>
      </c>
      <c r="B41" s="19" t="inlineStr">
        <is>
          <t>Documents &amp; Resumes</t>
        </is>
      </c>
      <c r="C41" s="19" t="inlineStr">
        <is>
          <t>Resume upload + AI parse</t>
        </is>
      </c>
      <c r="D41" s="19" t="inlineStr">
        <is>
          <t>parse-resume + OCR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Yes</t>
        </is>
      </c>
      <c r="H41" s="19" t="inlineStr">
        <is>
          <t>Yes</t>
        </is>
      </c>
      <c r="I41" s="19" t="inlineStr">
        <is>
          <t>Yes</t>
        </is>
      </c>
      <c r="J41" s="19" t="inlineStr">
        <is>
          <t>Completed</t>
        </is>
      </c>
      <c r="K41" s="19" t="inlineStr">
        <is>
          <t>Fully Implemented</t>
        </is>
      </c>
      <c r="L41" s="19" t="inlineStr">
        <is>
          <t>Passed</t>
        </is>
      </c>
      <c r="M41" s="19" t="inlineStr">
        <is>
          <t>Critical</t>
        </is>
      </c>
      <c r="N41" s="19" t="inlineStr">
        <is>
          <t>High</t>
        </is>
      </c>
      <c r="O41" s="19" t="inlineStr">
        <is>
          <t>Docs</t>
        </is>
      </c>
      <c r="P41" s="19" t="inlineStr">
        <is>
          <t>Priya Nair</t>
        </is>
      </c>
      <c r="Q41" s="19" t="n">
        <v>5</v>
      </c>
      <c r="R41" s="19" t="n">
        <v>4</v>
      </c>
      <c r="S41" s="19" t="inlineStr">
        <is>
          <t>Credits + free onboarding</t>
        </is>
      </c>
      <c r="T41" s="19" t="inlineStr">
        <is>
          <t>/app/documents</t>
        </is>
      </c>
      <c r="U41" s="19">
        <f>IFERROR(Environments!$B$3&amp;T41,T41)</f>
        <v/>
      </c>
      <c r="V41" s="19" t="inlineStr">
        <is>
          <t>Open /app/documents. Exercise 'Resume upload + AI parse' (parse-resume + OCR). Confirm happy path for intended role; note plan gates and credit toasts.</t>
        </is>
      </c>
      <c r="W41" s="19" t="inlineStr">
        <is>
          <t>Free+</t>
        </is>
      </c>
      <c r="X41" s="19" t="inlineStr">
        <is>
          <t>12 (resume_analysis; first onboarding free)</t>
        </is>
      </c>
      <c r="Y41" s="19" t="inlineStr"/>
    </row>
    <row r="42">
      <c r="A42" s="20" t="inlineStr">
        <is>
          <t>FEAT-040</t>
        </is>
      </c>
      <c r="B42" s="20" t="inlineStr">
        <is>
          <t>Documents &amp; Resumes</t>
        </is>
      </c>
      <c r="C42" s="20" t="inlineStr">
        <is>
          <t>Job description parse</t>
        </is>
      </c>
      <c r="D42" s="20" t="inlineStr">
        <is>
          <t>Client Gemini JD</t>
        </is>
      </c>
      <c r="E42" s="20" t="inlineStr">
        <is>
          <t>Yes</t>
        </is>
      </c>
      <c r="F42" s="20" t="inlineStr">
        <is>
          <t>Partial</t>
        </is>
      </c>
      <c r="G42" s="20" t="inlineStr">
        <is>
          <t>Yes</t>
        </is>
      </c>
      <c r="H42" s="20" t="inlineStr">
        <is>
          <t>Partial</t>
        </is>
      </c>
      <c r="I42" s="20" t="inlineStr">
        <is>
          <t>N/A</t>
        </is>
      </c>
      <c r="J42" s="20" t="inlineStr">
        <is>
          <t>Completed</t>
        </is>
      </c>
      <c r="K42" s="20" t="inlineStr">
        <is>
          <t>Fully Implemented</t>
        </is>
      </c>
      <c r="L42" s="20" t="inlineStr">
        <is>
          <t>In Testing</t>
        </is>
      </c>
      <c r="M42" s="20" t="inlineStr">
        <is>
          <t>High</t>
        </is>
      </c>
      <c r="N42" s="20" t="inlineStr">
        <is>
          <t>Medium</t>
        </is>
      </c>
      <c r="O42" s="20" t="inlineStr">
        <is>
          <t>Docs</t>
        </is>
      </c>
      <c r="P42" s="20" t="inlineStr">
        <is>
          <t>Priya Nair</t>
        </is>
      </c>
      <c r="Q42" s="20" t="n">
        <v>2</v>
      </c>
      <c r="R42" s="20" t="n">
        <v>1</v>
      </c>
      <c r="S42" s="20" t="inlineStr"/>
      <c r="T42" s="20" t="inlineStr">
        <is>
          <t>/app/documents</t>
        </is>
      </c>
      <c r="U42" s="20">
        <f>IFERROR(Environments!$B$3&amp;T42,T42)</f>
        <v/>
      </c>
      <c r="V42" s="20" t="inlineStr">
        <is>
          <t>Open /app/documents. Exercise 'Job description parse' (Client Gemini JD). Confirm happy path for intended role; note plan gates and credit toasts.</t>
        </is>
      </c>
      <c r="W42" s="20" t="inlineStr">
        <is>
          <t>Free+</t>
        </is>
      </c>
      <c r="X42" s="20" t="inlineStr">
        <is>
          <t>0 / N/A</t>
        </is>
      </c>
      <c r="Y42" s="20" t="inlineStr"/>
    </row>
    <row r="43">
      <c r="A43" s="19" t="inlineStr">
        <is>
          <t>FEAT-041</t>
        </is>
      </c>
      <c r="B43" s="19" t="inlineStr">
        <is>
          <t>Documents &amp; Resumes</t>
        </is>
      </c>
      <c r="C43" s="19" t="inlineStr">
        <is>
          <t>Resume vs JD gap analysis</t>
        </is>
      </c>
      <c r="D43" s="19" t="inlineStr">
        <is>
          <t>gap-analysis edge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Yes</t>
        </is>
      </c>
      <c r="H43" s="19" t="inlineStr">
        <is>
          <t>Yes</t>
        </is>
      </c>
      <c r="I43" s="19" t="inlineStr">
        <is>
          <t>Yes</t>
        </is>
      </c>
      <c r="J43" s="19" t="inlineStr">
        <is>
          <t>Completed</t>
        </is>
      </c>
      <c r="K43" s="19" t="inlineStr">
        <is>
          <t>Fully Implemented</t>
        </is>
      </c>
      <c r="L43" s="19" t="inlineStr">
        <is>
          <t>Ready</t>
        </is>
      </c>
      <c r="M43" s="19" t="inlineStr">
        <is>
          <t>High</t>
        </is>
      </c>
      <c r="N43" s="19" t="inlineStr">
        <is>
          <t>Medium</t>
        </is>
      </c>
      <c r="O43" s="19" t="inlineStr">
        <is>
          <t>Docs</t>
        </is>
      </c>
      <c r="P43" s="19" t="inlineStr">
        <is>
          <t>Priya Nair</t>
        </is>
      </c>
      <c r="Q43" s="19" t="n">
        <v>4</v>
      </c>
      <c r="R43" s="19" t="n">
        <v>3</v>
      </c>
      <c r="S43" s="19" t="inlineStr">
        <is>
          <t>JDDetail run + 402 handling</t>
        </is>
      </c>
      <c r="T43" s="19" t="inlineStr">
        <is>
          <t>/app/documents/jd/:id</t>
        </is>
      </c>
      <c r="U43" s="19">
        <f>IFERROR(Environments!$B$3&amp;T43,T43)</f>
        <v/>
      </c>
      <c r="V43" s="19" t="inlineStr">
        <is>
          <t>Open a JD → select resume → Run gap analysis. Expect match score + skills; 402 if credits low.</t>
        </is>
      </c>
      <c r="W43" s="19" t="inlineStr">
        <is>
          <t>Free+</t>
        </is>
      </c>
      <c r="X43" s="19" t="inlineStr">
        <is>
          <t>10 (gap_analysis)</t>
        </is>
      </c>
      <c r="Y43" s="19" t="inlineStr"/>
    </row>
    <row r="44">
      <c r="A44" s="20" t="inlineStr">
        <is>
          <t>FEAT-042</t>
        </is>
      </c>
      <c r="B44" s="20" t="inlineStr">
        <is>
          <t>Documents &amp; Resumes</t>
        </is>
      </c>
      <c r="C44" s="20" t="inlineStr">
        <is>
          <t>Resume version history UI</t>
        </is>
      </c>
      <c r="D44" s="20" t="inlineStr">
        <is>
          <t>Version list UI</t>
        </is>
      </c>
      <c r="E44" s="20" t="inlineStr">
        <is>
          <t>Yes</t>
        </is>
      </c>
      <c r="F44" s="20" t="inlineStr">
        <is>
          <t>Yes</t>
        </is>
      </c>
      <c r="G44" s="20" t="inlineStr">
        <is>
          <t>Yes</t>
        </is>
      </c>
      <c r="H44" s="20" t="inlineStr">
        <is>
          <t>N/A</t>
        </is>
      </c>
      <c r="I44" s="20" t="inlineStr">
        <is>
          <t>N/A</t>
        </is>
      </c>
      <c r="J44" s="20" t="inlineStr">
        <is>
          <t>Completed</t>
        </is>
      </c>
      <c r="K44" s="20" t="inlineStr">
        <is>
          <t>Fully Implemented</t>
        </is>
      </c>
      <c r="L44" s="20" t="inlineStr">
        <is>
          <t>Ready</t>
        </is>
      </c>
      <c r="M44" s="20" t="inlineStr">
        <is>
          <t>Medium</t>
        </is>
      </c>
      <c r="N44" s="20" t="inlineStr">
        <is>
          <t>Low</t>
        </is>
      </c>
      <c r="O44" s="20" t="inlineStr">
        <is>
          <t>Docs</t>
        </is>
      </c>
      <c r="P44" s="20" t="inlineStr">
        <is>
          <t>Priya Nair</t>
        </is>
      </c>
      <c r="Q44" s="20" t="n">
        <v>4</v>
      </c>
      <c r="R44" s="20" t="n">
        <v>2</v>
      </c>
      <c r="S44" s="20" t="inlineStr">
        <is>
          <t>Read-only list on ResumeDetail</t>
        </is>
      </c>
      <c r="T44" s="20" t="inlineStr">
        <is>
          <t>/app/documents/resume/:id</t>
        </is>
      </c>
      <c r="U44" s="20">
        <f>IFERROR(Environments!$B$3&amp;T44,T44)</f>
        <v/>
      </c>
      <c r="V44" s="20" t="inlineStr">
        <is>
          <t>Open resume detail → Version history card lists parse snapshots (read-only).</t>
        </is>
      </c>
      <c r="W44" s="20" t="inlineStr">
        <is>
          <t>Free+</t>
        </is>
      </c>
      <c r="X44" s="20" t="inlineStr">
        <is>
          <t>0 / N/A</t>
        </is>
      </c>
      <c r="Y44" s="20" t="inlineStr"/>
    </row>
    <row r="45">
      <c r="A45" s="19" t="inlineStr">
        <is>
          <t>FEAT-043</t>
        </is>
      </c>
      <c r="B45" s="19" t="inlineStr">
        <is>
          <t>Documents &amp; Resumes</t>
        </is>
      </c>
      <c r="C45" s="19" t="inlineStr">
        <is>
          <t>parse-document OCR</t>
        </is>
      </c>
      <c r="D45" s="19" t="inlineStr">
        <is>
          <t>Generic doc parse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Yes</t>
        </is>
      </c>
      <c r="H45" s="19" t="inlineStr">
        <is>
          <t>Yes</t>
        </is>
      </c>
      <c r="I45" s="19" t="inlineStr">
        <is>
          <t>Yes</t>
        </is>
      </c>
      <c r="J45" s="19" t="inlineStr">
        <is>
          <t>Completed</t>
        </is>
      </c>
      <c r="K45" s="19" t="inlineStr">
        <is>
          <t>Fully Implemented</t>
        </is>
      </c>
      <c r="L45" s="19" t="inlineStr">
        <is>
          <t>In Testing</t>
        </is>
      </c>
      <c r="M45" s="19" t="inlineStr">
        <is>
          <t>High</t>
        </is>
      </c>
      <c r="N45" s="19" t="inlineStr">
        <is>
          <t>Medium</t>
        </is>
      </c>
      <c r="O45" s="19" t="inlineStr">
        <is>
          <t>Docs</t>
        </is>
      </c>
      <c r="P45" s="19" t="inlineStr">
        <is>
          <t>Priya Nair</t>
        </is>
      </c>
      <c r="Q45" s="19" t="n">
        <v>3</v>
      </c>
      <c r="R45" s="19" t="n">
        <v>1.5</v>
      </c>
      <c r="S45" s="19" t="inlineStr">
        <is>
          <t>Charged; key in header</t>
        </is>
      </c>
      <c r="T45" s="19" t="inlineStr">
        <is>
          <t>/app/documents</t>
        </is>
      </c>
      <c r="U45" s="19">
        <f>IFERROR(Environments!$B$3&amp;T45,T45)</f>
        <v/>
      </c>
      <c r="V45" s="19" t="inlineStr">
        <is>
          <t>Open /app/documents. Exercise 'parse-document OCR' (Generic doc parse). Confirm happy path for intended role; note plan gates and credit toasts.</t>
        </is>
      </c>
      <c r="W45" s="19" t="inlineStr">
        <is>
          <t>Free+</t>
        </is>
      </c>
      <c r="X45" s="19" t="inlineStr">
        <is>
          <t>8 (parse_document)</t>
        </is>
      </c>
      <c r="Y45" s="19" t="inlineStr"/>
    </row>
    <row r="46">
      <c r="A46" s="20" t="inlineStr">
        <is>
          <t>FEAT-044</t>
        </is>
      </c>
      <c r="B46" s="20" t="inlineStr">
        <is>
          <t>Answer Bank</t>
        </is>
      </c>
      <c r="C46" s="20" t="inlineStr">
        <is>
          <t>Answer Bank CRUD</t>
        </is>
      </c>
      <c r="D46" s="20" t="inlineStr">
        <is>
          <t>Save/edit STAR answers</t>
        </is>
      </c>
      <c r="E46" s="20" t="inlineStr">
        <is>
          <t>Yes</t>
        </is>
      </c>
      <c r="F46" s="20" t="inlineStr">
        <is>
          <t>Yes</t>
        </is>
      </c>
      <c r="G46" s="20" t="inlineStr">
        <is>
          <t>Yes</t>
        </is>
      </c>
      <c r="H46" s="20" t="inlineStr">
        <is>
          <t>Yes</t>
        </is>
      </c>
      <c r="I46" s="20" t="inlineStr">
        <is>
          <t>N/A</t>
        </is>
      </c>
      <c r="J46" s="20" t="inlineStr">
        <is>
          <t>Completed</t>
        </is>
      </c>
      <c r="K46" s="20" t="inlineStr">
        <is>
          <t>Fully Implemented</t>
        </is>
      </c>
      <c r="L46" s="20" t="inlineStr">
        <is>
          <t>Passed</t>
        </is>
      </c>
      <c r="M46" s="20" t="inlineStr">
        <is>
          <t>Medium</t>
        </is>
      </c>
      <c r="N46" s="20" t="inlineStr">
        <is>
          <t>Low</t>
        </is>
      </c>
      <c r="O46" s="20" t="inlineStr">
        <is>
          <t>Prep</t>
        </is>
      </c>
      <c r="P46" s="20" t="inlineStr">
        <is>
          <t>Asha Sharma</t>
        </is>
      </c>
      <c r="Q46" s="20" t="n">
        <v>2</v>
      </c>
      <c r="R46" s="20" t="n">
        <v>1.5</v>
      </c>
      <c r="S46" s="20" t="inlineStr"/>
      <c r="T46" s="20" t="inlineStr">
        <is>
          <t>/app/answers</t>
        </is>
      </c>
      <c r="U46" s="20">
        <f>IFERROR(Environments!$B$3&amp;T46,T46)</f>
        <v/>
      </c>
      <c r="V46" s="20" t="inlineStr">
        <is>
          <t>Open /app/answers. Exercise 'Answer Bank CRUD' (Save/edit STAR answers). Confirm happy path for intended role; note plan gates and credit toasts.</t>
        </is>
      </c>
      <c r="W46" s="20" t="inlineStr">
        <is>
          <t>Free+</t>
        </is>
      </c>
      <c r="X46" s="20" t="inlineStr">
        <is>
          <t>0 / N/A</t>
        </is>
      </c>
      <c r="Y46" s="20" t="inlineStr"/>
    </row>
    <row r="47">
      <c r="A47" s="19" t="inlineStr">
        <is>
          <t>FEAT-045</t>
        </is>
      </c>
      <c r="B47" s="19" t="inlineStr">
        <is>
          <t>Answer Bank</t>
        </is>
      </c>
      <c r="C47" s="19" t="inlineStr">
        <is>
          <t>Answer Bank AI generate</t>
        </is>
      </c>
      <c r="D47" s="19" t="inlineStr">
        <is>
          <t>prep-tool star_method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Yes</t>
        </is>
      </c>
      <c r="H47" s="19" t="inlineStr">
        <is>
          <t>Yes</t>
        </is>
      </c>
      <c r="I47" s="19" t="inlineStr">
        <is>
          <t>Yes</t>
        </is>
      </c>
      <c r="J47" s="19" t="inlineStr">
        <is>
          <t>Completed</t>
        </is>
      </c>
      <c r="K47" s="19" t="inlineStr">
        <is>
          <t>Fully Implemented</t>
        </is>
      </c>
      <c r="L47" s="19" t="inlineStr">
        <is>
          <t>In Testing</t>
        </is>
      </c>
      <c r="M47" s="19" t="inlineStr">
        <is>
          <t>Medium</t>
        </is>
      </c>
      <c r="N47" s="19" t="inlineStr">
        <is>
          <t>Low</t>
        </is>
      </c>
      <c r="O47" s="19" t="inlineStr">
        <is>
          <t>Prep</t>
        </is>
      </c>
      <c r="P47" s="19" t="inlineStr">
        <is>
          <t>Asha Sharma</t>
        </is>
      </c>
      <c r="Q47" s="19" t="n">
        <v>3</v>
      </c>
      <c r="R47" s="19" t="n">
        <v>2</v>
      </c>
      <c r="S47" s="19" t="inlineStr">
        <is>
          <t>Wired P3</t>
        </is>
      </c>
      <c r="T47" s="19" t="inlineStr">
        <is>
          <t>/app/answers</t>
        </is>
      </c>
      <c r="U47" s="19">
        <f>IFERROR(Environments!$B$3&amp;T47,T47)</f>
        <v/>
      </c>
      <c r="V47" s="19" t="inlineStr">
        <is>
          <t>Open /app/answers. Exercise 'Answer Bank AI generate' (prep-tool star_method). Confirm happy path for intended role; note plan gates and credit toasts.</t>
        </is>
      </c>
      <c r="W47" s="19" t="inlineStr">
        <is>
          <t>Free+</t>
        </is>
      </c>
      <c r="X47" s="19" t="inlineStr">
        <is>
          <t>0 / N/A</t>
        </is>
      </c>
      <c r="Y47" s="19" t="inlineStr"/>
    </row>
    <row r="48">
      <c r="A48" s="20" t="inlineStr">
        <is>
          <t>FEAT-046</t>
        </is>
      </c>
      <c r="B48" s="20" t="inlineStr">
        <is>
          <t>Interviews &amp; Calendar</t>
        </is>
      </c>
      <c r="C48" s="20" t="inlineStr">
        <is>
          <t>Manual interview CRUD</t>
        </is>
      </c>
      <c r="D48" s="20" t="inlineStr">
        <is>
          <t>Schedule interviews</t>
        </is>
      </c>
      <c r="E48" s="20" t="inlineStr">
        <is>
          <t>Yes</t>
        </is>
      </c>
      <c r="F48" s="20" t="inlineStr">
        <is>
          <t>Yes</t>
        </is>
      </c>
      <c r="G48" s="20" t="inlineStr">
        <is>
          <t>Yes</t>
        </is>
      </c>
      <c r="H48" s="20" t="inlineStr">
        <is>
          <t>Yes</t>
        </is>
      </c>
      <c r="I48" s="20" t="inlineStr">
        <is>
          <t>N/A</t>
        </is>
      </c>
      <c r="J48" s="20" t="inlineStr">
        <is>
          <t>Completed</t>
        </is>
      </c>
      <c r="K48" s="20" t="inlineStr">
        <is>
          <t>Fully Implemented</t>
        </is>
      </c>
      <c r="L48" s="20" t="inlineStr">
        <is>
          <t>Passed</t>
        </is>
      </c>
      <c r="M48" s="20" t="inlineStr">
        <is>
          <t>High</t>
        </is>
      </c>
      <c r="N48" s="20" t="inlineStr">
        <is>
          <t>Medium</t>
        </is>
      </c>
      <c r="O48" s="20" t="inlineStr">
        <is>
          <t>Scheduling</t>
        </is>
      </c>
      <c r="P48" s="20" t="inlineStr">
        <is>
          <t>Rohan Mehta</t>
        </is>
      </c>
      <c r="Q48" s="20" t="n">
        <v>3</v>
      </c>
      <c r="R48" s="20" t="n">
        <v>2</v>
      </c>
      <c r="S48" s="20" t="inlineStr">
        <is>
          <t>next_round helpers</t>
        </is>
      </c>
      <c r="T48" s="20" t="inlineStr">
        <is>
          <t>/app/interviews</t>
        </is>
      </c>
      <c r="U48" s="20">
        <f>IFERROR(Environments!$B$3&amp;T48,T48)</f>
        <v/>
      </c>
      <c r="V48" s="20" t="inlineStr">
        <is>
          <t>Open /app/interviews. Exercise 'Manual interview CRUD' (Schedule interviews). Confirm happy path for intended role; note plan gates and credit toasts.</t>
        </is>
      </c>
      <c r="W48" s="20" t="inlineStr">
        <is>
          <t>Free+</t>
        </is>
      </c>
      <c r="X48" s="20" t="inlineStr">
        <is>
          <t>0 / N/A</t>
        </is>
      </c>
      <c r="Y48" s="20" t="inlineStr"/>
    </row>
    <row r="49">
      <c r="A49" s="19" t="inlineStr">
        <is>
          <t>FEAT-047</t>
        </is>
      </c>
      <c r="B49" s="19" t="inlineStr">
        <is>
          <t>Interviews &amp; Calendar</t>
        </is>
      </c>
      <c r="C49" s="19" t="inlineStr">
        <is>
          <t>Interview email reminders</t>
        </is>
      </c>
      <c r="D49" s="19" t="inlineStr">
        <is>
          <t>schedule-interview email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Yes</t>
        </is>
      </c>
      <c r="H49" s="19" t="inlineStr">
        <is>
          <t>Yes</t>
        </is>
      </c>
      <c r="I49" s="19" t="inlineStr">
        <is>
          <t>Yes</t>
        </is>
      </c>
      <c r="J49" s="19" t="inlineStr">
        <is>
          <t>Completed</t>
        </is>
      </c>
      <c r="K49" s="19" t="inlineStr">
        <is>
          <t>Fully Implemented</t>
        </is>
      </c>
      <c r="L49" s="19" t="inlineStr">
        <is>
          <t>Blocked</t>
        </is>
      </c>
      <c r="M49" s="19" t="inlineStr">
        <is>
          <t>Medium</t>
        </is>
      </c>
      <c r="N49" s="19" t="inlineStr">
        <is>
          <t>Medium</t>
        </is>
      </c>
      <c r="O49" s="19" t="inlineStr">
        <is>
          <t>Scheduling</t>
        </is>
      </c>
      <c r="P49" s="19" t="inlineStr">
        <is>
          <t>Rohan Mehta</t>
        </is>
      </c>
      <c r="Q49" s="19" t="n">
        <v>2</v>
      </c>
      <c r="R49" s="19" t="n">
        <v>0.5</v>
      </c>
      <c r="S49" s="19" t="inlineStr">
        <is>
          <t>Needs Resend key</t>
        </is>
      </c>
      <c r="T49" s="19" t="inlineStr">
        <is>
          <t>/app/interviews</t>
        </is>
      </c>
      <c r="U49" s="19">
        <f>IFERROR(Environments!$B$3&amp;T49,T49)</f>
        <v/>
      </c>
      <c r="V49" s="19" t="inlineStr">
        <is>
          <t>Open /app/interviews. Exercise 'Interview email reminders' (schedule-interview email). Confirm happy path for intended role; note plan gates and credit toasts.</t>
        </is>
      </c>
      <c r="W49" s="19" t="inlineStr">
        <is>
          <t>Free+</t>
        </is>
      </c>
      <c r="X49" s="19" t="inlineStr">
        <is>
          <t>0 / N/A</t>
        </is>
      </c>
      <c r="Y49" s="19" t="inlineStr">
        <is>
          <t>BUG-OPEN-26</t>
        </is>
      </c>
    </row>
    <row r="50">
      <c r="A50" s="20" t="inlineStr">
        <is>
          <t>FEAT-048</t>
        </is>
      </c>
      <c r="B50" s="20" t="inlineStr">
        <is>
          <t>Interviews &amp; Calendar</t>
        </is>
      </c>
      <c r="C50" s="20" t="inlineStr">
        <is>
          <t>Google Calendar connect</t>
        </is>
      </c>
      <c r="D50" s="20" t="inlineStr">
        <is>
          <t>OAuth connect</t>
        </is>
      </c>
      <c r="E50" s="20" t="inlineStr">
        <is>
          <t>Yes</t>
        </is>
      </c>
      <c r="F50" s="20" t="inlineStr">
        <is>
          <t>Yes</t>
        </is>
      </c>
      <c r="G50" s="20" t="inlineStr">
        <is>
          <t>Yes</t>
        </is>
      </c>
      <c r="H50" s="20" t="inlineStr">
        <is>
          <t>Yes</t>
        </is>
      </c>
      <c r="I50" s="20" t="inlineStr">
        <is>
          <t>Yes</t>
        </is>
      </c>
      <c r="J50" s="20" t="inlineStr">
        <is>
          <t>Completed</t>
        </is>
      </c>
      <c r="K50" s="20" t="inlineStr">
        <is>
          <t>Fully Implemented</t>
        </is>
      </c>
      <c r="L50" s="20" t="inlineStr">
        <is>
          <t>In Testing</t>
        </is>
      </c>
      <c r="M50" s="20" t="inlineStr">
        <is>
          <t>High</t>
        </is>
      </c>
      <c r="N50" s="20" t="inlineStr">
        <is>
          <t>Medium</t>
        </is>
      </c>
      <c r="O50" s="20" t="inlineStr">
        <is>
          <t>Scheduling</t>
        </is>
      </c>
      <c r="P50" s="20" t="inlineStr">
        <is>
          <t>Rohan Mehta</t>
        </is>
      </c>
      <c r="Q50" s="20" t="n">
        <v>3</v>
      </c>
      <c r="R50" s="20" t="n">
        <v>1.5</v>
      </c>
      <c r="S50" s="20" t="inlineStr"/>
      <c r="T50" s="20" t="inlineStr">
        <is>
          <t>/app/interviews</t>
        </is>
      </c>
      <c r="U50" s="20">
        <f>IFERROR(Environments!$B$3&amp;T50,T50)</f>
        <v/>
      </c>
      <c r="V50" s="20" t="inlineStr">
        <is>
          <t>Open /app/interviews. Exercise 'Google Calendar connect' (OAuth connect). Confirm happy path for intended role; note plan gates and credit toasts.</t>
        </is>
      </c>
      <c r="W50" s="20" t="inlineStr">
        <is>
          <t>Free+</t>
        </is>
      </c>
      <c r="X50" s="20" t="inlineStr">
        <is>
          <t>0 / N/A</t>
        </is>
      </c>
      <c r="Y50" s="20" t="inlineStr"/>
    </row>
    <row r="51">
      <c r="A51" s="19" t="inlineStr">
        <is>
          <t>FEAT-049</t>
        </is>
      </c>
      <c r="B51" s="19" t="inlineStr">
        <is>
          <t>Interviews &amp; Calendar</t>
        </is>
      </c>
      <c r="C51" s="19" t="inlineStr">
        <is>
          <t>Google Calendar sync</t>
        </is>
      </c>
      <c r="D51" s="19" t="inlineStr">
        <is>
          <t>sync-calendar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Yes</t>
        </is>
      </c>
      <c r="H51" s="19" t="inlineStr">
        <is>
          <t>Yes</t>
        </is>
      </c>
      <c r="I51" s="19" t="inlineStr">
        <is>
          <t>Yes</t>
        </is>
      </c>
      <c r="J51" s="19" t="inlineStr">
        <is>
          <t>Blocked</t>
        </is>
      </c>
      <c r="K51" s="19" t="inlineStr">
        <is>
          <t>Partial</t>
        </is>
      </c>
      <c r="L51" s="19" t="inlineStr">
        <is>
          <t>Blocked</t>
        </is>
      </c>
      <c r="M51" s="19" t="inlineStr">
        <is>
          <t>High</t>
        </is>
      </c>
      <c r="N51" s="19" t="inlineStr">
        <is>
          <t>Medium</t>
        </is>
      </c>
      <c r="O51" s="19" t="inlineStr">
        <is>
          <t>Scheduling</t>
        </is>
      </c>
      <c r="P51" s="19" t="inlineStr">
        <is>
          <t>Rohan Mehta</t>
        </is>
      </c>
      <c r="Q51" s="19" t="n">
        <v>4</v>
      </c>
      <c r="R51" s="19" t="n">
        <v>1</v>
      </c>
      <c r="S51" s="19" t="inlineStr">
        <is>
          <t>501 without secrets</t>
        </is>
      </c>
      <c r="T51" s="19" t="inlineStr">
        <is>
          <t>/app/interviews</t>
        </is>
      </c>
      <c r="U51" s="19">
        <f>IFERROR(Environments!$B$3&amp;T51,T51)</f>
        <v/>
      </c>
      <c r="V51" s="19" t="inlineStr">
        <is>
          <t>Open /app/interviews. Exercise 'Google Calendar sync' (sync-calendar). Confirm happy path for intended role; note plan gates and credit toasts.</t>
        </is>
      </c>
      <c r="W51" s="19" t="inlineStr">
        <is>
          <t>Pro+</t>
        </is>
      </c>
      <c r="X51" s="19" t="inlineStr">
        <is>
          <t>0 / N/A</t>
        </is>
      </c>
      <c r="Y51" s="19" t="inlineStr">
        <is>
          <t>BUG-OPEN-03</t>
        </is>
      </c>
    </row>
    <row r="52">
      <c r="A52" s="20" t="inlineStr">
        <is>
          <t>FEAT-050</t>
        </is>
      </c>
      <c r="B52" s="20" t="inlineStr">
        <is>
          <t>Interviews &amp; Calendar</t>
        </is>
      </c>
      <c r="C52" s="20" t="inlineStr">
        <is>
          <t>Outlook Calendar</t>
        </is>
      </c>
      <c r="D52" s="20" t="inlineStr">
        <is>
          <t>Outlook sync</t>
        </is>
      </c>
      <c r="E52" s="20" t="inlineStr">
        <is>
          <t>No</t>
        </is>
      </c>
      <c r="F52" s="20" t="inlineStr">
        <is>
          <t>No</t>
        </is>
      </c>
      <c r="G52" s="20" t="inlineStr">
        <is>
          <t>N/A</t>
        </is>
      </c>
      <c r="H52" s="20" t="inlineStr">
        <is>
          <t>No</t>
        </is>
      </c>
      <c r="I52" s="20" t="inlineStr">
        <is>
          <t>No</t>
        </is>
      </c>
      <c r="J52" s="20" t="inlineStr">
        <is>
          <t>Not Started</t>
        </is>
      </c>
      <c r="K52" s="20" t="inlineStr">
        <is>
          <t>Not Built</t>
        </is>
      </c>
      <c r="L52" s="20" t="inlineStr">
        <is>
          <t>Not Tested</t>
        </is>
      </c>
      <c r="M52" s="20" t="inlineStr">
        <is>
          <t>Medium</t>
        </is>
      </c>
      <c r="N52" s="20" t="inlineStr">
        <is>
          <t>Low</t>
        </is>
      </c>
      <c r="O52" s="20" t="inlineStr">
        <is>
          <t>Scheduling</t>
        </is>
      </c>
      <c r="P52" s="20" t="inlineStr">
        <is>
          <t>Rohan Mehta</t>
        </is>
      </c>
      <c r="Q52" s="20" t="n">
        <v>8</v>
      </c>
      <c r="R52" s="20" t="n">
        <v>0</v>
      </c>
      <c r="S52" s="20" t="inlineStr">
        <is>
          <t>Descope</t>
        </is>
      </c>
      <c r="T52" s="20" t="inlineStr">
        <is>
          <t>/app/interviews</t>
        </is>
      </c>
      <c r="U52" s="20">
        <f>IFERROR(Environments!$B$3&amp;T52,T52)</f>
        <v/>
      </c>
      <c r="V52" s="20" t="inlineStr">
        <is>
          <t>Open /app/interviews. Exercise 'Outlook Calendar' (Outlook sync). Confirm happy path for intended role; note plan gates and credit toasts.</t>
        </is>
      </c>
      <c r="W52" s="20" t="inlineStr">
        <is>
          <t>Free+</t>
        </is>
      </c>
      <c r="X52" s="20" t="inlineStr">
        <is>
          <t>0 / N/A</t>
        </is>
      </c>
      <c r="Y52" s="20" t="inlineStr">
        <is>
          <t>BUG-OPEN-07</t>
        </is>
      </c>
    </row>
    <row r="53">
      <c r="A53" s="19" t="inlineStr">
        <is>
          <t>FEAT-051</t>
        </is>
      </c>
      <c r="B53" s="19" t="inlineStr">
        <is>
          <t>Interviews &amp; Calendar</t>
        </is>
      </c>
      <c r="C53" s="19" t="inlineStr">
        <is>
          <t>Interview Day screen</t>
        </is>
      </c>
      <c r="D53" s="19" t="inlineStr">
        <is>
          <t>Day-of interview UI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Yes</t>
        </is>
      </c>
      <c r="H53" s="19" t="inlineStr">
        <is>
          <t>N/A</t>
        </is>
      </c>
      <c r="I53" s="19" t="inlineStr">
        <is>
          <t>N/A</t>
        </is>
      </c>
      <c r="J53" s="19" t="inlineStr">
        <is>
          <t>Completed</t>
        </is>
      </c>
      <c r="K53" s="19" t="inlineStr">
        <is>
          <t>Fully Implemented</t>
        </is>
      </c>
      <c r="L53" s="19" t="inlineStr">
        <is>
          <t>Passed</t>
        </is>
      </c>
      <c r="M53" s="19" t="inlineStr">
        <is>
          <t>High</t>
        </is>
      </c>
      <c r="N53" s="19" t="inlineStr">
        <is>
          <t>Medium</t>
        </is>
      </c>
      <c r="O53" s="19" t="inlineStr">
        <is>
          <t>Scheduling</t>
        </is>
      </c>
      <c r="P53" s="19" t="inlineStr">
        <is>
          <t>Rohan Mehta</t>
        </is>
      </c>
      <c r="Q53" s="19" t="n">
        <v>2</v>
      </c>
      <c r="R53" s="19" t="n">
        <v>1.5</v>
      </c>
      <c r="S53" s="19" t="inlineStr">
        <is>
          <t>Date bug fixed P1-1</t>
        </is>
      </c>
      <c r="T53" s="19" t="inlineStr">
        <is>
          <t>/app/interview-day</t>
        </is>
      </c>
      <c r="U53" s="19">
        <f>IFERROR(Environments!$B$3&amp;T53,T53)</f>
        <v/>
      </c>
      <c r="V53" s="19" t="inlineStr">
        <is>
          <t>Open /app/interview-day. Exercise 'Interview Day screen' (Day-of interview UI). Confirm happy path for intended role; note plan gates and credit toasts.</t>
        </is>
      </c>
      <c r="W53" s="19" t="inlineStr">
        <is>
          <t>Free+</t>
        </is>
      </c>
      <c r="X53" s="19" t="inlineStr">
        <is>
          <t>0 / N/A</t>
        </is>
      </c>
      <c r="Y53" s="19" t="inlineStr"/>
    </row>
    <row r="54">
      <c r="A54" s="20" t="inlineStr">
        <is>
          <t>FEAT-052</t>
        </is>
      </c>
      <c r="B54" s="20" t="inlineStr">
        <is>
          <t>Company Research</t>
        </is>
      </c>
      <c r="C54" s="20" t="inlineStr">
        <is>
          <t>Company Research AI</t>
        </is>
      </c>
      <c r="D54" s="20" t="inlineStr">
        <is>
          <t>AI brief + cache</t>
        </is>
      </c>
      <c r="E54" s="20" t="inlineStr">
        <is>
          <t>Yes</t>
        </is>
      </c>
      <c r="F54" s="20" t="inlineStr">
        <is>
          <t>Yes</t>
        </is>
      </c>
      <c r="G54" s="20" t="inlineStr">
        <is>
          <t>Yes</t>
        </is>
      </c>
      <c r="H54" s="20" t="inlineStr">
        <is>
          <t>Yes</t>
        </is>
      </c>
      <c r="I54" s="20" t="inlineStr">
        <is>
          <t>Yes</t>
        </is>
      </c>
      <c r="J54" s="20" t="inlineStr">
        <is>
          <t>Completed</t>
        </is>
      </c>
      <c r="K54" s="20" t="inlineStr">
        <is>
          <t>Fully Implemented</t>
        </is>
      </c>
      <c r="L54" s="20" t="inlineStr">
        <is>
          <t>Passed</t>
        </is>
      </c>
      <c r="M54" s="20" t="inlineStr">
        <is>
          <t>Medium</t>
        </is>
      </c>
      <c r="N54" s="20" t="inlineStr">
        <is>
          <t>Medium</t>
        </is>
      </c>
      <c r="O54" s="20" t="inlineStr">
        <is>
          <t>Prep</t>
        </is>
      </c>
      <c r="P54" s="20" t="inlineStr">
        <is>
          <t>Asha Sharma</t>
        </is>
      </c>
      <c r="Q54" s="20" t="n">
        <v>3</v>
      </c>
      <c r="R54" s="20" t="n">
        <v>2</v>
      </c>
      <c r="S54" s="20" t="inlineStr">
        <is>
          <t>Pro gated</t>
        </is>
      </c>
      <c r="T54" s="20" t="inlineStr">
        <is>
          <t>/app/companies</t>
        </is>
      </c>
      <c r="U54" s="20">
        <f>IFERROR(Environments!$B$3&amp;T54,T54)</f>
        <v/>
      </c>
      <c r="V54" s="20" t="inlineStr">
        <is>
          <t>Open /app/companies. Exercise 'Company Research AI' (AI brief + cache). Confirm happy path for intended role; note plan gates and credit toasts.</t>
        </is>
      </c>
      <c r="W54" s="20" t="inlineStr">
        <is>
          <t>Pro+</t>
        </is>
      </c>
      <c r="X54" s="20" t="inlineStr">
        <is>
          <t>20 (company_research)</t>
        </is>
      </c>
      <c r="Y54" s="20" t="inlineStr"/>
    </row>
    <row r="55">
      <c r="A55" s="19" t="inlineStr">
        <is>
          <t>FEAT-053</t>
        </is>
      </c>
      <c r="B55" s="19" t="inlineStr">
        <is>
          <t>Notifications &amp; Profile</t>
        </is>
      </c>
      <c r="C55" s="19" t="inlineStr">
        <is>
          <t>In-app notifications</t>
        </is>
      </c>
      <c r="D55" s="19" t="inlineStr">
        <is>
          <t>Realtime notifications</t>
        </is>
      </c>
      <c r="E55" s="19" t="inlineStr">
        <is>
          <t>Yes</t>
        </is>
      </c>
      <c r="F55" s="19" t="inlineStr">
        <is>
          <t>Yes</t>
        </is>
      </c>
      <c r="G55" s="19" t="inlineStr">
        <is>
          <t>Yes</t>
        </is>
      </c>
      <c r="H55" s="19" t="inlineStr">
        <is>
          <t>Yes</t>
        </is>
      </c>
      <c r="I55" s="19" t="inlineStr">
        <is>
          <t>N/A</t>
        </is>
      </c>
      <c r="J55" s="19" t="inlineStr">
        <is>
          <t>Completed</t>
        </is>
      </c>
      <c r="K55" s="19" t="inlineStr">
        <is>
          <t>Fully Implemented</t>
        </is>
      </c>
      <c r="L55" s="19" t="inlineStr">
        <is>
          <t>Passed</t>
        </is>
      </c>
      <c r="M55" s="19" t="inlineStr">
        <is>
          <t>Medium</t>
        </is>
      </c>
      <c r="N55" s="19" t="inlineStr">
        <is>
          <t>Low</t>
        </is>
      </c>
      <c r="O55" s="19" t="inlineStr">
        <is>
          <t>Growth</t>
        </is>
      </c>
      <c r="P55" s="19" t="inlineStr">
        <is>
          <t>Rohan Mehta</t>
        </is>
      </c>
      <c r="Q55" s="19" t="n">
        <v>2</v>
      </c>
      <c r="R55" s="19" t="n">
        <v>1.5</v>
      </c>
      <c r="S55" s="19" t="inlineStr"/>
      <c r="T55" s="19" t="inlineStr">
        <is>
          <t>/app/notifications</t>
        </is>
      </c>
      <c r="U55" s="19">
        <f>IFERROR(Environments!$B$3&amp;T55,T55)</f>
        <v/>
      </c>
      <c r="V55" s="19" t="inlineStr">
        <is>
          <t>Open /app/notifications. Exercise 'In-app notifications' (Realtime notifications). Confirm happy path for intended role; note plan gates and credit toasts.</t>
        </is>
      </c>
      <c r="W55" s="19" t="inlineStr">
        <is>
          <t>Free+</t>
        </is>
      </c>
      <c r="X55" s="19" t="inlineStr">
        <is>
          <t>0 / N/A</t>
        </is>
      </c>
      <c r="Y55" s="19" t="inlineStr"/>
    </row>
    <row r="56">
      <c r="A56" s="20" t="inlineStr">
        <is>
          <t>FEAT-054</t>
        </is>
      </c>
      <c r="B56" s="20" t="inlineStr">
        <is>
          <t>Notifications &amp; Profile</t>
        </is>
      </c>
      <c r="C56" s="20" t="inlineStr">
        <is>
          <t>Email notification prefs</t>
        </is>
      </c>
      <c r="D56" s="20" t="inlineStr">
        <is>
          <t>Prefs UI + send-email gate</t>
        </is>
      </c>
      <c r="E56" s="20" t="inlineStr">
        <is>
          <t>Yes</t>
        </is>
      </c>
      <c r="F56" s="20" t="inlineStr">
        <is>
          <t>Yes</t>
        </is>
      </c>
      <c r="G56" s="20" t="inlineStr">
        <is>
          <t>Yes</t>
        </is>
      </c>
      <c r="H56" s="20" t="inlineStr">
        <is>
          <t>Yes</t>
        </is>
      </c>
      <c r="I56" s="20" t="inlineStr">
        <is>
          <t>Yes</t>
        </is>
      </c>
      <c r="J56" s="20" t="inlineStr">
        <is>
          <t>Completed</t>
        </is>
      </c>
      <c r="K56" s="20" t="inlineStr">
        <is>
          <t>Fully Implemented</t>
        </is>
      </c>
      <c r="L56" s="20" t="inlineStr">
        <is>
          <t>Ready</t>
        </is>
      </c>
      <c r="M56" s="20" t="inlineStr">
        <is>
          <t>Medium</t>
        </is>
      </c>
      <c r="N56" s="20" t="inlineStr">
        <is>
          <t>Medium</t>
        </is>
      </c>
      <c r="O56" s="20" t="inlineStr">
        <is>
          <t>Growth</t>
        </is>
      </c>
      <c r="P56" s="20" t="inlineStr">
        <is>
          <t>Rohan Mehta</t>
        </is>
      </c>
      <c r="Q56" s="20" t="n">
        <v>2</v>
      </c>
      <c r="R56" s="20" t="n">
        <v>1.5</v>
      </c>
      <c r="S56" s="20" t="inlineStr">
        <is>
          <t>send-email honours prefs</t>
        </is>
      </c>
      <c r="T56" s="20" t="inlineStr">
        <is>
          <t>/app/settings/notifications</t>
        </is>
      </c>
      <c r="U56" s="20">
        <f>IFERROR(Environments!$B$3&amp;T56,T56)</f>
        <v/>
      </c>
      <c r="V56" s="20" t="inlineStr">
        <is>
          <t>Settings → Notifications. Toggle category off, trigger send-email type; expect skipped when pref off.</t>
        </is>
      </c>
      <c r="W56" s="20" t="inlineStr">
        <is>
          <t>Free+</t>
        </is>
      </c>
      <c r="X56" s="20" t="inlineStr">
        <is>
          <t>0 / N/A</t>
        </is>
      </c>
      <c r="Y56" s="20" t="inlineStr"/>
    </row>
    <row r="57">
      <c r="A57" s="19" t="inlineStr">
        <is>
          <t>FEAT-055</t>
        </is>
      </c>
      <c r="B57" s="19" t="inlineStr">
        <is>
          <t>Notifications &amp; Profile</t>
        </is>
      </c>
      <c r="C57" s="19" t="inlineStr">
        <is>
          <t>Push notifications</t>
        </is>
      </c>
      <c r="D57" s="19" t="inlineStr">
        <is>
          <t>Web push</t>
        </is>
      </c>
      <c r="E57" s="19" t="inlineStr">
        <is>
          <t>Partial</t>
        </is>
      </c>
      <c r="F57" s="19" t="inlineStr">
        <is>
          <t>No</t>
        </is>
      </c>
      <c r="G57" s="19" t="inlineStr">
        <is>
          <t>N/A</t>
        </is>
      </c>
      <c r="H57" s="19" t="inlineStr">
        <is>
          <t>No</t>
        </is>
      </c>
      <c r="I57" s="19" t="inlineStr">
        <is>
          <t>No</t>
        </is>
      </c>
      <c r="J57" s="19" t="inlineStr">
        <is>
          <t>Not Started</t>
        </is>
      </c>
      <c r="K57" s="19" t="inlineStr">
        <is>
          <t>Not Built</t>
        </is>
      </c>
      <c r="L57" s="19" t="inlineStr">
        <is>
          <t>Not Tested</t>
        </is>
      </c>
      <c r="M57" s="19" t="inlineStr">
        <is>
          <t>Low</t>
        </is>
      </c>
      <c r="N57" s="19" t="inlineStr">
        <is>
          <t>Low</t>
        </is>
      </c>
      <c r="O57" s="19" t="inlineStr">
        <is>
          <t>Growth</t>
        </is>
      </c>
      <c r="P57" s="19" t="inlineStr">
        <is>
          <t>Rohan Mehta</t>
        </is>
      </c>
      <c r="Q57" s="19" t="n">
        <v>6</v>
      </c>
      <c r="R57" s="19" t="n">
        <v>0</v>
      </c>
      <c r="S57" s="19" t="inlineStr">
        <is>
          <t>Permission only</t>
        </is>
      </c>
      <c r="T57" s="19" t="inlineStr">
        <is>
          <t>/app/notifications</t>
        </is>
      </c>
      <c r="U57" s="19">
        <f>IFERROR(Environments!$B$3&amp;T57,T57)</f>
        <v/>
      </c>
      <c r="V57" s="19" t="inlineStr">
        <is>
          <t>Open /app/notifications. Exercise 'Push notifications' (Web push). Confirm happy path for intended role; note plan gates and credit toasts.</t>
        </is>
      </c>
      <c r="W57" s="19" t="inlineStr">
        <is>
          <t>Free+</t>
        </is>
      </c>
      <c r="X57" s="19" t="inlineStr">
        <is>
          <t>0 / N/A</t>
        </is>
      </c>
      <c r="Y57" s="19" t="inlineStr">
        <is>
          <t>BUG-OPEN-09</t>
        </is>
      </c>
    </row>
    <row r="58">
      <c r="A58" s="20" t="inlineStr">
        <is>
          <t>FEAT-056</t>
        </is>
      </c>
      <c r="B58" s="20" t="inlineStr">
        <is>
          <t>Notifications &amp; Profile</t>
        </is>
      </c>
      <c r="C58" s="20" t="inlineStr">
        <is>
          <t>Gamification XP/streak</t>
        </is>
      </c>
      <c r="D58" s="20" t="inlineStr">
        <is>
          <t>XP badges streaks</t>
        </is>
      </c>
      <c r="E58" s="20" t="inlineStr">
        <is>
          <t>Yes</t>
        </is>
      </c>
      <c r="F58" s="20" t="inlineStr">
        <is>
          <t>Yes</t>
        </is>
      </c>
      <c r="G58" s="20" t="inlineStr">
        <is>
          <t>Yes</t>
        </is>
      </c>
      <c r="H58" s="20" t="inlineStr">
        <is>
          <t>Yes</t>
        </is>
      </c>
      <c r="I58" s="20" t="inlineStr">
        <is>
          <t>N/A</t>
        </is>
      </c>
      <c r="J58" s="20" t="inlineStr">
        <is>
          <t>Completed</t>
        </is>
      </c>
      <c r="K58" s="20" t="inlineStr">
        <is>
          <t>Fully Implemented</t>
        </is>
      </c>
      <c r="L58" s="20" t="inlineStr">
        <is>
          <t>Passed</t>
        </is>
      </c>
      <c r="M58" s="20" t="inlineStr">
        <is>
          <t>Medium</t>
        </is>
      </c>
      <c r="N58" s="20" t="inlineStr">
        <is>
          <t>Low</t>
        </is>
      </c>
      <c r="O58" s="20" t="inlineStr">
        <is>
          <t>Growth</t>
        </is>
      </c>
      <c r="P58" s="20" t="inlineStr">
        <is>
          <t>Rohan Mehta</t>
        </is>
      </c>
      <c r="Q58" s="20" t="n">
        <v>3</v>
      </c>
      <c r="R58" s="20" t="n">
        <v>2</v>
      </c>
      <c r="S58" s="20" t="inlineStr"/>
      <c r="T58" s="20" t="inlineStr">
        <is>
          <t>/app/notifications</t>
        </is>
      </c>
      <c r="U58" s="20">
        <f>IFERROR(Environments!$B$3&amp;T58,T58)</f>
        <v/>
      </c>
      <c r="V58" s="20" t="inlineStr">
        <is>
          <t>Open /app/notifications. Exercise 'Gamification XP/streak' (XP badges streaks). Confirm happy path for intended role; note plan gates and credit toasts.</t>
        </is>
      </c>
      <c r="W58" s="20" t="inlineStr">
        <is>
          <t>Free+</t>
        </is>
      </c>
      <c r="X58" s="20" t="inlineStr">
        <is>
          <t>0 / N/A</t>
        </is>
      </c>
      <c r="Y58" s="20" t="inlineStr"/>
    </row>
    <row r="59">
      <c r="A59" s="19" t="inlineStr">
        <is>
          <t>FEAT-057</t>
        </is>
      </c>
      <c r="B59" s="19" t="inlineStr">
        <is>
          <t>Notifications &amp; Profile</t>
        </is>
      </c>
      <c r="C59" s="19" t="inlineStr">
        <is>
          <t>Profile page display</t>
        </is>
      </c>
      <c r="D59" s="19" t="inlineStr">
        <is>
          <t>Streak badges profile</t>
        </is>
      </c>
      <c r="E59" s="19" t="inlineStr">
        <is>
          <t>Yes</t>
        </is>
      </c>
      <c r="F59" s="19" t="inlineStr">
        <is>
          <t>Yes</t>
        </is>
      </c>
      <c r="G59" s="19" t="inlineStr">
        <is>
          <t>Yes</t>
        </is>
      </c>
      <c r="H59" s="19" t="inlineStr">
        <is>
          <t>N/A</t>
        </is>
      </c>
      <c r="I59" s="19" t="inlineStr">
        <is>
          <t>N/A</t>
        </is>
      </c>
      <c r="J59" s="19" t="inlineStr">
        <is>
          <t>Completed</t>
        </is>
      </c>
      <c r="K59" s="19" t="inlineStr">
        <is>
          <t>Fully Implemented</t>
        </is>
      </c>
      <c r="L59" s="19" t="inlineStr">
        <is>
          <t>Passed</t>
        </is>
      </c>
      <c r="M59" s="19" t="inlineStr">
        <is>
          <t>Medium</t>
        </is>
      </c>
      <c r="N59" s="19" t="inlineStr">
        <is>
          <t>Medium</t>
        </is>
      </c>
      <c r="O59" s="19" t="inlineStr">
        <is>
          <t>Growth</t>
        </is>
      </c>
      <c r="P59" s="19" t="inlineStr">
        <is>
          <t>Rohan Mehta</t>
        </is>
      </c>
      <c r="Q59" s="19" t="n">
        <v>2</v>
      </c>
      <c r="R59" s="19" t="n">
        <v>1.5</v>
      </c>
      <c r="S59" s="19" t="inlineStr">
        <is>
          <t>streak_days + badges fixed</t>
        </is>
      </c>
      <c r="T59" s="19" t="inlineStr">
        <is>
          <t>/app/notifications</t>
        </is>
      </c>
      <c r="U59" s="19">
        <f>IFERROR(Environments!$B$3&amp;T59,T59)</f>
        <v/>
      </c>
      <c r="V59" s="19" t="inlineStr">
        <is>
          <t>Open /app/notifications. Exercise 'Profile page display' (Streak badges profile). Confirm happy path for intended role; note plan gates and credit toasts.</t>
        </is>
      </c>
      <c r="W59" s="19" t="inlineStr">
        <is>
          <t>Free+</t>
        </is>
      </c>
      <c r="X59" s="19" t="inlineStr">
        <is>
          <t>0 / N/A</t>
        </is>
      </c>
      <c r="Y59" s="19" t="inlineStr"/>
    </row>
    <row r="60">
      <c r="A60" s="20" t="inlineStr">
        <is>
          <t>FEAT-058</t>
        </is>
      </c>
      <c r="B60" s="20" t="inlineStr">
        <is>
          <t>Referrals &amp; Guide</t>
        </is>
      </c>
      <c r="C60" s="20" t="inlineStr">
        <is>
          <t>Referral program</t>
        </is>
      </c>
      <c r="D60" s="20" t="inlineStr">
        <is>
          <t>RPC credit grants</t>
        </is>
      </c>
      <c r="E60" s="20" t="inlineStr">
        <is>
          <t>Yes</t>
        </is>
      </c>
      <c r="F60" s="20" t="inlineStr">
        <is>
          <t>Yes</t>
        </is>
      </c>
      <c r="G60" s="20" t="inlineStr">
        <is>
          <t>Yes</t>
        </is>
      </c>
      <c r="H60" s="20" t="inlineStr">
        <is>
          <t>Yes</t>
        </is>
      </c>
      <c r="I60" s="20" t="inlineStr">
        <is>
          <t>Yes</t>
        </is>
      </c>
      <c r="J60" s="20" t="inlineStr">
        <is>
          <t>Completed</t>
        </is>
      </c>
      <c r="K60" s="20" t="inlineStr">
        <is>
          <t>Fully Implemented</t>
        </is>
      </c>
      <c r="L60" s="20" t="inlineStr">
        <is>
          <t>Passed</t>
        </is>
      </c>
      <c r="M60" s="20" t="inlineStr">
        <is>
          <t>Medium</t>
        </is>
      </c>
      <c r="N60" s="20" t="inlineStr">
        <is>
          <t>Low</t>
        </is>
      </c>
      <c r="O60" s="20" t="inlineStr">
        <is>
          <t>Growth</t>
        </is>
      </c>
      <c r="P60" s="20" t="inlineStr">
        <is>
          <t>Rohan Mehta</t>
        </is>
      </c>
      <c r="Q60" s="20" t="n">
        <v>2</v>
      </c>
      <c r="R60" s="20" t="n">
        <v>1.5</v>
      </c>
      <c r="S60" s="20" t="inlineStr"/>
      <c r="T60" s="20" t="inlineStr">
        <is>
          <t>/app/referrals</t>
        </is>
      </c>
      <c r="U60" s="20">
        <f>IFERROR(Environments!$B$3&amp;T60,T60)</f>
        <v/>
      </c>
      <c r="V60" s="20" t="inlineStr">
        <is>
          <t>Open /app/referrals. Exercise 'Referral program' (RPC credit grants). Confirm happy path for intended role; note plan gates and credit toasts.</t>
        </is>
      </c>
      <c r="W60" s="20" t="inlineStr">
        <is>
          <t>Free+</t>
        </is>
      </c>
      <c r="X60" s="20" t="inlineStr">
        <is>
          <t>0 / N/A</t>
        </is>
      </c>
      <c r="Y60" s="20" t="inlineStr"/>
    </row>
    <row r="61">
      <c r="A61" s="19" t="inlineStr">
        <is>
          <t>FEAT-059</t>
        </is>
      </c>
      <c r="B61" s="19" t="inlineStr">
        <is>
          <t>Referrals &amp; Guide</t>
        </is>
      </c>
      <c r="C61" s="19" t="inlineStr">
        <is>
          <t>In-app Guide/Help</t>
        </is>
      </c>
      <c r="D61" s="19" t="inlineStr">
        <is>
          <t>Help articles</t>
        </is>
      </c>
      <c r="E61" s="19" t="inlineStr">
        <is>
          <t>Yes</t>
        </is>
      </c>
      <c r="F61" s="19" t="inlineStr">
        <is>
          <t>Yes</t>
        </is>
      </c>
      <c r="G61" s="19" t="inlineStr">
        <is>
          <t>Yes</t>
        </is>
      </c>
      <c r="H61" s="19" t="inlineStr">
        <is>
          <t>Yes</t>
        </is>
      </c>
      <c r="I61" s="19" t="inlineStr">
        <is>
          <t>N/A</t>
        </is>
      </c>
      <c r="J61" s="19" t="inlineStr">
        <is>
          <t>Completed</t>
        </is>
      </c>
      <c r="K61" s="19" t="inlineStr">
        <is>
          <t>Fully Implemented</t>
        </is>
      </c>
      <c r="L61" s="19" t="inlineStr">
        <is>
          <t>Passed</t>
        </is>
      </c>
      <c r="M61" s="19" t="inlineStr">
        <is>
          <t>Low</t>
        </is>
      </c>
      <c r="N61" s="19" t="inlineStr">
        <is>
          <t>Low</t>
        </is>
      </c>
      <c r="O61" s="19" t="inlineStr">
        <is>
          <t>Growth</t>
        </is>
      </c>
      <c r="P61" s="19" t="inlineStr">
        <is>
          <t>Kavya Iyer</t>
        </is>
      </c>
      <c r="Q61" s="19" t="n">
        <v>1.5</v>
      </c>
      <c r="R61" s="19" t="n">
        <v>1</v>
      </c>
      <c r="S61" s="19" t="inlineStr">
        <is>
          <t>Group Practice coming soon</t>
        </is>
      </c>
      <c r="T61" s="19" t="inlineStr">
        <is>
          <t>/app/referrals</t>
        </is>
      </c>
      <c r="U61" s="19">
        <f>IFERROR(Environments!$B$3&amp;T61,T61)</f>
        <v/>
      </c>
      <c r="V61" s="19" t="inlineStr">
        <is>
          <t>Open /app/referrals. Exercise 'In-app Guide/Help' (Help articles). Confirm happy path for intended role; note plan gates and credit toasts.</t>
        </is>
      </c>
      <c r="W61" s="19" t="inlineStr">
        <is>
          <t>Free+</t>
        </is>
      </c>
      <c r="X61" s="19" t="inlineStr">
        <is>
          <t>0 / N/A</t>
        </is>
      </c>
      <c r="Y61" s="19" t="inlineStr"/>
    </row>
    <row r="62">
      <c r="A62" s="20" t="inlineStr">
        <is>
          <t>FEAT-060</t>
        </is>
      </c>
      <c r="B62" s="20" t="inlineStr">
        <is>
          <t>Gov Exam Mock Tests</t>
        </is>
      </c>
      <c r="C62" s="20" t="inlineStr">
        <is>
          <t>Mock test engine</t>
        </is>
      </c>
      <c r="D62" s="20" t="inlineStr">
        <is>
          <t>create/submit/score atomic</t>
        </is>
      </c>
      <c r="E62" s="20" t="inlineStr">
        <is>
          <t>Yes</t>
        </is>
      </c>
      <c r="F62" s="20" t="inlineStr">
        <is>
          <t>Yes</t>
        </is>
      </c>
      <c r="G62" s="20" t="inlineStr">
        <is>
          <t>Yes</t>
        </is>
      </c>
      <c r="H62" s="20" t="inlineStr">
        <is>
          <t>Yes</t>
        </is>
      </c>
      <c r="I62" s="20" t="inlineStr">
        <is>
          <t>Yes</t>
        </is>
      </c>
      <c r="J62" s="20" t="inlineStr">
        <is>
          <t>Completed</t>
        </is>
      </c>
      <c r="K62" s="20" t="inlineStr">
        <is>
          <t>Fully Implemented</t>
        </is>
      </c>
      <c r="L62" s="20" t="inlineStr">
        <is>
          <t>Passed</t>
        </is>
      </c>
      <c r="M62" s="20" t="inlineStr">
        <is>
          <t>Critical</t>
        </is>
      </c>
      <c r="N62" s="20" t="inlineStr">
        <is>
          <t>High</t>
        </is>
      </c>
      <c r="O62" s="20" t="inlineStr">
        <is>
          <t>GovExams</t>
        </is>
      </c>
      <c r="P62" s="20" t="inlineStr">
        <is>
          <t>Rohan Mehta</t>
        </is>
      </c>
      <c r="Q62" s="20" t="n">
        <v>6</v>
      </c>
      <c r="R62" s="20" t="n">
        <v>5</v>
      </c>
      <c r="S62" s="20" t="inlineStr"/>
      <c r="T62" s="20" t="inlineStr">
        <is>
          <t>/app/mock-test</t>
        </is>
      </c>
      <c r="U62" s="20">
        <f>IFERROR(Environments!$B$3&amp;T62,T62)</f>
        <v/>
      </c>
      <c r="V62" s="20" t="inlineStr">
        <is>
          <t>Open /app/mock-test. Exercise 'Mock test engine' (create/submit/score atomic). Confirm happy path for intended role; note plan gates and credit toasts.</t>
        </is>
      </c>
      <c r="W62" s="20" t="inlineStr">
        <is>
          <t>Free+</t>
        </is>
      </c>
      <c r="X62" s="20" t="inlineStr">
        <is>
          <t>0 / N/A</t>
        </is>
      </c>
      <c r="Y62" s="20" t="inlineStr"/>
    </row>
    <row r="63">
      <c r="A63" s="19" t="inlineStr">
        <is>
          <t>FEAT-061</t>
        </is>
      </c>
      <c r="B63" s="19" t="inlineStr">
        <is>
          <t>Gov Exam Mock Tests</t>
        </is>
      </c>
      <c r="C63" s="19" t="inlineStr">
        <is>
          <t>Question bank content</t>
        </is>
      </c>
      <c r="D63" s="19" t="inlineStr">
        <is>
          <t>Seeded MCQs</t>
        </is>
      </c>
      <c r="E63" s="19" t="inlineStr">
        <is>
          <t>Yes</t>
        </is>
      </c>
      <c r="F63" s="19" t="inlineStr">
        <is>
          <t>Yes</t>
        </is>
      </c>
      <c r="G63" s="19" t="inlineStr">
        <is>
          <t>Yes</t>
        </is>
      </c>
      <c r="H63" s="19" t="inlineStr">
        <is>
          <t>N/A</t>
        </is>
      </c>
      <c r="I63" s="19" t="inlineStr">
        <is>
          <t>N/A</t>
        </is>
      </c>
      <c r="J63" s="19" t="inlineStr">
        <is>
          <t>Completed</t>
        </is>
      </c>
      <c r="K63" s="19" t="inlineStr">
        <is>
          <t>Fully Implemented</t>
        </is>
      </c>
      <c r="L63" s="19" t="inlineStr">
        <is>
          <t>Ready</t>
        </is>
      </c>
      <c r="M63" s="19" t="inlineStr">
        <is>
          <t>Critical</t>
        </is>
      </c>
      <c r="N63" s="19" t="inlineStr">
        <is>
          <t>High</t>
        </is>
      </c>
      <c r="O63" s="19" t="inlineStr">
        <is>
          <t>GovExams</t>
        </is>
      </c>
      <c r="P63" s="19" t="inlineStr">
        <is>
          <t>Rohan Mehta</t>
        </is>
      </c>
      <c r="Q63" s="19" t="n">
        <v>20</v>
      </c>
      <c r="R63" s="19" t="n">
        <v>8</v>
      </c>
      <c r="S63" s="19" t="inlineStr">
        <is>
          <t>~100+ MCQs via expand migration</t>
        </is>
      </c>
      <c r="T63" s="19" t="inlineStr">
        <is>
          <t>/app/mock-test</t>
        </is>
      </c>
      <c r="U63" s="19">
        <f>IFERROR(Environments!$B$3&amp;T63,T63)</f>
        <v/>
      </c>
      <c r="V63" s="19" t="inlineStr">
        <is>
          <t>Mock Test Hub → configure exam → create test. Bank should return enough questions per major exam type.</t>
        </is>
      </c>
      <c r="W63" s="19" t="inlineStr">
        <is>
          <t>Free+</t>
        </is>
      </c>
      <c r="X63" s="19" t="inlineStr">
        <is>
          <t>3 (create_mock_test) + AI gap fill 15</t>
        </is>
      </c>
      <c r="Y63" s="19" t="inlineStr"/>
    </row>
    <row r="64">
      <c r="A64" s="20" t="inlineStr">
        <is>
          <t>FEAT-062</t>
        </is>
      </c>
      <c r="B64" s="20" t="inlineStr">
        <is>
          <t>Gov Exam Mock Tests</t>
        </is>
      </c>
      <c r="C64" s="20" t="inlineStr">
        <is>
          <t>Adaptive question select</t>
        </is>
      </c>
      <c r="D64" s="20" t="inlineStr">
        <is>
          <t>select-test-questions</t>
        </is>
      </c>
      <c r="E64" s="20" t="inlineStr">
        <is>
          <t>Yes</t>
        </is>
      </c>
      <c r="F64" s="20" t="inlineStr">
        <is>
          <t>Yes</t>
        </is>
      </c>
      <c r="G64" s="20" t="inlineStr">
        <is>
          <t>Yes</t>
        </is>
      </c>
      <c r="H64" s="20" t="inlineStr">
        <is>
          <t>Yes</t>
        </is>
      </c>
      <c r="I64" s="20" t="inlineStr">
        <is>
          <t>Yes</t>
        </is>
      </c>
      <c r="J64" s="20" t="inlineStr">
        <is>
          <t>Completed</t>
        </is>
      </c>
      <c r="K64" s="20" t="inlineStr">
        <is>
          <t>Fully Implemented</t>
        </is>
      </c>
      <c r="L64" s="20" t="inlineStr">
        <is>
          <t>Passed</t>
        </is>
      </c>
      <c r="M64" s="20" t="inlineStr">
        <is>
          <t>High</t>
        </is>
      </c>
      <c r="N64" s="20" t="inlineStr">
        <is>
          <t>Medium</t>
        </is>
      </c>
      <c r="O64" s="20" t="inlineStr">
        <is>
          <t>GovExams</t>
        </is>
      </c>
      <c r="P64" s="20" t="inlineStr">
        <is>
          <t>Rohan Mehta</t>
        </is>
      </c>
      <c r="Q64" s="20" t="n">
        <v>3</v>
      </c>
      <c r="R64" s="20" t="n">
        <v>2</v>
      </c>
      <c r="S64" s="20" t="inlineStr"/>
      <c r="T64" s="20" t="inlineStr">
        <is>
          <t>/app/mock-test</t>
        </is>
      </c>
      <c r="U64" s="20">
        <f>IFERROR(Environments!$B$3&amp;T64,T64)</f>
        <v/>
      </c>
      <c r="V64" s="20" t="inlineStr">
        <is>
          <t>Open /app/mock-test. Exercise 'Adaptive question select' (select-test-questions). Confirm happy path for intended role; note plan gates and credit toasts.</t>
        </is>
      </c>
      <c r="W64" s="20" t="inlineStr">
        <is>
          <t>Free+</t>
        </is>
      </c>
      <c r="X64" s="20" t="inlineStr">
        <is>
          <t>0 / N/A</t>
        </is>
      </c>
      <c r="Y64" s="20" t="inlineStr"/>
    </row>
    <row r="65">
      <c r="A65" s="19" t="inlineStr">
        <is>
          <t>FEAT-063</t>
        </is>
      </c>
      <c r="B65" s="19" t="inlineStr">
        <is>
          <t>Gov Exam Mock Tests</t>
        </is>
      </c>
      <c r="C65" s="19" t="inlineStr">
        <is>
          <t>AI question gap-fill</t>
        </is>
      </c>
      <c r="D65" s="19" t="inlineStr">
        <is>
          <t>Pro + credits</t>
        </is>
      </c>
      <c r="E65" s="19" t="inlineStr">
        <is>
          <t>Yes</t>
        </is>
      </c>
      <c r="F65" s="19" t="inlineStr">
        <is>
          <t>Yes</t>
        </is>
      </c>
      <c r="G65" s="19" t="inlineStr">
        <is>
          <t>Yes</t>
        </is>
      </c>
      <c r="H65" s="19" t="inlineStr">
        <is>
          <t>Yes</t>
        </is>
      </c>
      <c r="I65" s="19" t="inlineStr">
        <is>
          <t>Yes</t>
        </is>
      </c>
      <c r="J65" s="19" t="inlineStr">
        <is>
          <t>Completed</t>
        </is>
      </c>
      <c r="K65" s="19" t="inlineStr">
        <is>
          <t>Fully Implemented</t>
        </is>
      </c>
      <c r="L65" s="19" t="inlineStr">
        <is>
          <t>In Testing</t>
        </is>
      </c>
      <c r="M65" s="19" t="inlineStr">
        <is>
          <t>High</t>
        </is>
      </c>
      <c r="N65" s="19" t="inlineStr">
        <is>
          <t>Medium</t>
        </is>
      </c>
      <c r="O65" s="19" t="inlineStr">
        <is>
          <t>GovExams</t>
        </is>
      </c>
      <c r="P65" s="19" t="inlineStr">
        <is>
          <t>Rohan Mehta</t>
        </is>
      </c>
      <c r="Q65" s="19" t="n">
        <v>3</v>
      </c>
      <c r="R65" s="19" t="n">
        <v>1.5</v>
      </c>
      <c r="S65" s="19" t="inlineStr"/>
      <c r="T65" s="19" t="inlineStr">
        <is>
          <t>/app/mock-test</t>
        </is>
      </c>
      <c r="U65" s="19">
        <f>IFERROR(Environments!$B$3&amp;T65,T65)</f>
        <v/>
      </c>
      <c r="V65" s="19" t="inlineStr">
        <is>
          <t>Open /app/mock-test. Exercise 'AI question gap-fill' (Pro + credits). Confirm happy path for intended role; note plan gates and credit toasts.</t>
        </is>
      </c>
      <c r="W65" s="19" t="inlineStr">
        <is>
          <t>Free+</t>
        </is>
      </c>
      <c r="X65" s="19" t="inlineStr">
        <is>
          <t>0 / N/A</t>
        </is>
      </c>
      <c r="Y65" s="19" t="inlineStr"/>
    </row>
    <row r="66">
      <c r="A66" s="20" t="inlineStr">
        <is>
          <t>FEAT-064</t>
        </is>
      </c>
      <c r="B66" s="20" t="inlineStr">
        <is>
          <t>Gov Exam Mock Tests</t>
        </is>
      </c>
      <c r="C66" s="20" t="inlineStr">
        <is>
          <t>Spaced repetition</t>
        </is>
      </c>
      <c r="D66" s="20" t="inlineStr">
        <is>
          <t>Revision schedule</t>
        </is>
      </c>
      <c r="E66" s="20" t="inlineStr">
        <is>
          <t>Yes</t>
        </is>
      </c>
      <c r="F66" s="20" t="inlineStr">
        <is>
          <t>Yes</t>
        </is>
      </c>
      <c r="G66" s="20" t="inlineStr">
        <is>
          <t>Yes</t>
        </is>
      </c>
      <c r="H66" s="20" t="inlineStr">
        <is>
          <t>Yes</t>
        </is>
      </c>
      <c r="I66" s="20" t="inlineStr">
        <is>
          <t>N/A</t>
        </is>
      </c>
      <c r="J66" s="20" t="inlineStr">
        <is>
          <t>Completed</t>
        </is>
      </c>
      <c r="K66" s="20" t="inlineStr">
        <is>
          <t>Fully Implemented</t>
        </is>
      </c>
      <c r="L66" s="20" t="inlineStr">
        <is>
          <t>In Testing</t>
        </is>
      </c>
      <c r="M66" s="20" t="inlineStr">
        <is>
          <t>Medium</t>
        </is>
      </c>
      <c r="N66" s="20" t="inlineStr">
        <is>
          <t>Low</t>
        </is>
      </c>
      <c r="O66" s="20" t="inlineStr">
        <is>
          <t>GovExams</t>
        </is>
      </c>
      <c r="P66" s="20" t="inlineStr">
        <is>
          <t>Rohan Mehta</t>
        </is>
      </c>
      <c r="Q66" s="20" t="n">
        <v>3</v>
      </c>
      <c r="R66" s="20" t="n">
        <v>1</v>
      </c>
      <c r="S66" s="20" t="inlineStr"/>
      <c r="T66" s="20" t="inlineStr">
        <is>
          <t>/app/mock-test</t>
        </is>
      </c>
      <c r="U66" s="20">
        <f>IFERROR(Environments!$B$3&amp;T66,T66)</f>
        <v/>
      </c>
      <c r="V66" s="20" t="inlineStr">
        <is>
          <t>Open /app/mock-test. Exercise 'Spaced repetition' (Revision schedule). Confirm happy path for intended role; note plan gates and credit toasts.</t>
        </is>
      </c>
      <c r="W66" s="20" t="inlineStr">
        <is>
          <t>Free+</t>
        </is>
      </c>
      <c r="X66" s="20" t="inlineStr">
        <is>
          <t>0 / N/A</t>
        </is>
      </c>
      <c r="Y66" s="20" t="inlineStr"/>
    </row>
    <row r="67">
      <c r="A67" s="19" t="inlineStr">
        <is>
          <t>FEAT-065</t>
        </is>
      </c>
      <c r="B67" s="19" t="inlineStr">
        <is>
          <t>Gov Exam Mock Tests</t>
        </is>
      </c>
      <c r="C67" s="19" t="inlineStr">
        <is>
          <t>Exam papers browser</t>
        </is>
      </c>
      <c r="D67" s="19" t="inlineStr">
        <is>
          <t>Past papers UI</t>
        </is>
      </c>
      <c r="E67" s="19" t="inlineStr">
        <is>
          <t>Yes</t>
        </is>
      </c>
      <c r="F67" s="19" t="inlineStr">
        <is>
          <t>Yes</t>
        </is>
      </c>
      <c r="G67" s="19" t="inlineStr">
        <is>
          <t>Yes</t>
        </is>
      </c>
      <c r="H67" s="19" t="inlineStr">
        <is>
          <t>Yes</t>
        </is>
      </c>
      <c r="I67" s="19" t="inlineStr">
        <is>
          <t>Partial</t>
        </is>
      </c>
      <c r="J67" s="19" t="inlineStr">
        <is>
          <t>In Progress</t>
        </is>
      </c>
      <c r="K67" s="19" t="inlineStr">
        <is>
          <t>Partial</t>
        </is>
      </c>
      <c r="L67" s="19" t="inlineStr">
        <is>
          <t>Failed</t>
        </is>
      </c>
      <c r="M67" s="19" t="inlineStr">
        <is>
          <t>Medium</t>
        </is>
      </c>
      <c r="N67" s="19" t="inlineStr">
        <is>
          <t>Medium</t>
        </is>
      </c>
      <c r="O67" s="19" t="inlineStr">
        <is>
          <t>GovExams</t>
        </is>
      </c>
      <c r="P67" s="19" t="inlineStr">
        <is>
          <t>Rohan Mehta</t>
        </is>
      </c>
      <c r="Q67" s="19" t="n">
        <v>3</v>
      </c>
      <c r="R67" s="19" t="n">
        <v>1</v>
      </c>
      <c r="S67" s="19" t="inlineStr">
        <is>
          <t>Many empty</t>
        </is>
      </c>
      <c r="T67" s="19" t="inlineStr">
        <is>
          <t>/app/mock-test</t>
        </is>
      </c>
      <c r="U67" s="19">
        <f>IFERROR(Environments!$B$3&amp;T67,T67)</f>
        <v/>
      </c>
      <c r="V67" s="19" t="inlineStr">
        <is>
          <t>Open /app/mock-test. Exercise 'Exam papers browser' (Past papers UI). Confirm happy path for intended role; note plan gates and credit toasts.</t>
        </is>
      </c>
      <c r="W67" s="19" t="inlineStr">
        <is>
          <t>Free+</t>
        </is>
      </c>
      <c r="X67" s="19" t="inlineStr">
        <is>
          <t>0 / N/A</t>
        </is>
      </c>
      <c r="Y67" s="19" t="inlineStr"/>
    </row>
    <row r="68">
      <c r="A68" s="20" t="inlineStr">
        <is>
          <t>FEAT-066</t>
        </is>
      </c>
      <c r="B68" s="20" t="inlineStr">
        <is>
          <t>Gov Exam Mock Tests</t>
        </is>
      </c>
      <c r="C68" s="20" t="inlineStr">
        <is>
          <t>PDF question import</t>
        </is>
      </c>
      <c r="D68" s="20" t="inlineStr">
        <is>
          <t>parse-question-pdf</t>
        </is>
      </c>
      <c r="E68" s="20" t="inlineStr">
        <is>
          <t>Yes</t>
        </is>
      </c>
      <c r="F68" s="20" t="inlineStr">
        <is>
          <t>Yes</t>
        </is>
      </c>
      <c r="G68" s="20" t="inlineStr">
        <is>
          <t>Yes</t>
        </is>
      </c>
      <c r="H68" s="20" t="inlineStr">
        <is>
          <t>Yes</t>
        </is>
      </c>
      <c r="I68" s="20" t="inlineStr">
        <is>
          <t>Yes</t>
        </is>
      </c>
      <c r="J68" s="20" t="inlineStr">
        <is>
          <t>Completed</t>
        </is>
      </c>
      <c r="K68" s="20" t="inlineStr">
        <is>
          <t>Fully Implemented</t>
        </is>
      </c>
      <c r="L68" s="20" t="inlineStr">
        <is>
          <t>Blocked</t>
        </is>
      </c>
      <c r="M68" s="20" t="inlineStr">
        <is>
          <t>High</t>
        </is>
      </c>
      <c r="N68" s="20" t="inlineStr">
        <is>
          <t>Medium</t>
        </is>
      </c>
      <c r="O68" s="20" t="inlineStr">
        <is>
          <t>GovExams</t>
        </is>
      </c>
      <c r="P68" s="20" t="inlineStr">
        <is>
          <t>Rohan Mehta</t>
        </is>
      </c>
      <c r="Q68" s="20" t="n">
        <v>4</v>
      </c>
      <c r="R68" s="20" t="n">
        <v>1</v>
      </c>
      <c r="S68" s="20" t="inlineStr">
        <is>
          <t>Quota/env</t>
        </is>
      </c>
      <c r="T68" s="20" t="inlineStr">
        <is>
          <t>/app/mock-test</t>
        </is>
      </c>
      <c r="U68" s="20">
        <f>IFERROR(Environments!$B$3&amp;T68,T68)</f>
        <v/>
      </c>
      <c r="V68" s="20" t="inlineStr">
        <is>
          <t>Open /app/mock-test. Exercise 'PDF question import' (parse-question-pdf). Confirm happy path for intended role; note plan gates and credit toasts.</t>
        </is>
      </c>
      <c r="W68" s="20" t="inlineStr">
        <is>
          <t>Free+</t>
        </is>
      </c>
      <c r="X68" s="20" t="inlineStr">
        <is>
          <t>0 / N/A</t>
        </is>
      </c>
      <c r="Y68" s="20" t="inlineStr">
        <is>
          <t>BUG-OPEN-17</t>
        </is>
      </c>
    </row>
    <row r="69">
      <c r="A69" s="19" t="inlineStr">
        <is>
          <t>FEAT-067</t>
        </is>
      </c>
      <c r="B69" s="19" t="inlineStr">
        <is>
          <t>Gov Exam Mock Tests</t>
        </is>
      </c>
      <c r="C69" s="19" t="inlineStr">
        <is>
          <t>Excel/CSV import</t>
        </is>
      </c>
      <c r="D69" s="19" t="inlineStr">
        <is>
          <t>bulk-import-questions</t>
        </is>
      </c>
      <c r="E69" s="19" t="inlineStr">
        <is>
          <t>Yes</t>
        </is>
      </c>
      <c r="F69" s="19" t="inlineStr">
        <is>
          <t>Yes</t>
        </is>
      </c>
      <c r="G69" s="19" t="inlineStr">
        <is>
          <t>Yes</t>
        </is>
      </c>
      <c r="H69" s="19" t="inlineStr">
        <is>
          <t>Yes</t>
        </is>
      </c>
      <c r="I69" s="19" t="inlineStr">
        <is>
          <t>Yes</t>
        </is>
      </c>
      <c r="J69" s="19" t="inlineStr">
        <is>
          <t>Completed</t>
        </is>
      </c>
      <c r="K69" s="19" t="inlineStr">
        <is>
          <t>Fully Implemented</t>
        </is>
      </c>
      <c r="L69" s="19" t="inlineStr">
        <is>
          <t>In Testing</t>
        </is>
      </c>
      <c r="M69" s="19" t="inlineStr">
        <is>
          <t>High</t>
        </is>
      </c>
      <c r="N69" s="19" t="inlineStr">
        <is>
          <t>Medium</t>
        </is>
      </c>
      <c r="O69" s="19" t="inlineStr">
        <is>
          <t>GovExams</t>
        </is>
      </c>
      <c r="P69" s="19" t="inlineStr">
        <is>
          <t>Rohan Mehta</t>
        </is>
      </c>
      <c r="Q69" s="19" t="n">
        <v>3</v>
      </c>
      <c r="R69" s="19" t="n">
        <v>2</v>
      </c>
      <c r="S69" s="19" t="inlineStr"/>
      <c r="T69" s="19" t="inlineStr">
        <is>
          <t>/app/mock-test</t>
        </is>
      </c>
      <c r="U69" s="19">
        <f>IFERROR(Environments!$B$3&amp;T69,T69)</f>
        <v/>
      </c>
      <c r="V69" s="19" t="inlineStr">
        <is>
          <t>Open /app/mock-test. Exercise 'Excel/CSV import' (bulk-import-questions). Confirm happy path for intended role; note plan gates and credit toasts.</t>
        </is>
      </c>
      <c r="W69" s="19" t="inlineStr">
        <is>
          <t>Free+</t>
        </is>
      </c>
      <c r="X69" s="19" t="inlineStr">
        <is>
          <t>0 / N/A</t>
        </is>
      </c>
      <c r="Y69" s="19" t="inlineStr"/>
    </row>
    <row r="70">
      <c r="A70" s="20" t="inlineStr">
        <is>
          <t>FEAT-068</t>
        </is>
      </c>
      <c r="B70" s="20" t="inlineStr">
        <is>
          <t>Gov Exam Mock Tests</t>
        </is>
      </c>
      <c r="C70" s="20" t="inlineStr">
        <is>
          <t>Collect exam papers</t>
        </is>
      </c>
      <c r="D70" s="20" t="inlineStr">
        <is>
          <t>collect-exam-papers</t>
        </is>
      </c>
      <c r="E70" s="20" t="inlineStr">
        <is>
          <t>Yes</t>
        </is>
      </c>
      <c r="F70" s="20" t="inlineStr">
        <is>
          <t>Yes</t>
        </is>
      </c>
      <c r="G70" s="20" t="inlineStr">
        <is>
          <t>Yes</t>
        </is>
      </c>
      <c r="H70" s="20" t="inlineStr">
        <is>
          <t>Yes</t>
        </is>
      </c>
      <c r="I70" s="20" t="inlineStr">
        <is>
          <t>Yes</t>
        </is>
      </c>
      <c r="J70" s="20" t="inlineStr">
        <is>
          <t>In Progress</t>
        </is>
      </c>
      <c r="K70" s="20" t="inlineStr">
        <is>
          <t>Partial</t>
        </is>
      </c>
      <c r="L70" s="20" t="inlineStr">
        <is>
          <t>Blocked</t>
        </is>
      </c>
      <c r="M70" s="20" t="inlineStr">
        <is>
          <t>Medium</t>
        </is>
      </c>
      <c r="N70" s="20" t="inlineStr">
        <is>
          <t>High</t>
        </is>
      </c>
      <c r="O70" s="20" t="inlineStr">
        <is>
          <t>GovExams</t>
        </is>
      </c>
      <c r="P70" s="20" t="inlineStr">
        <is>
          <t>Rohan Mehta</t>
        </is>
      </c>
      <c r="Q70" s="20" t="n">
        <v>4</v>
      </c>
      <c r="R70" s="20" t="n">
        <v>0.5</v>
      </c>
      <c r="S70" s="20" t="inlineStr">
        <is>
          <t>Brittle hosts</t>
        </is>
      </c>
      <c r="T70" s="20" t="inlineStr">
        <is>
          <t>/app/mock-test</t>
        </is>
      </c>
      <c r="U70" s="20">
        <f>IFERROR(Environments!$B$3&amp;T70,T70)</f>
        <v/>
      </c>
      <c r="V70" s="20" t="inlineStr">
        <is>
          <t>Open /app/mock-test. Exercise 'Collect exam papers' (collect-exam-papers). Confirm happy path for intended role; note plan gates and credit toasts.</t>
        </is>
      </c>
      <c r="W70" s="20" t="inlineStr">
        <is>
          <t>Free+</t>
        </is>
      </c>
      <c r="X70" s="20" t="inlineStr">
        <is>
          <t>0 / N/A</t>
        </is>
      </c>
      <c r="Y70" s="20" t="inlineStr">
        <is>
          <t>BUG-OPEN-17</t>
        </is>
      </c>
    </row>
    <row r="71">
      <c r="A71" s="19" t="inlineStr">
        <is>
          <t>FEAT-069</t>
        </is>
      </c>
      <c r="B71" s="19" t="inlineStr">
        <is>
          <t>Gov Exam Mock Tests</t>
        </is>
      </c>
      <c r="C71" s="19" t="inlineStr">
        <is>
          <t>Python scraper service</t>
        </is>
      </c>
      <c r="D71" s="19" t="inlineStr">
        <is>
          <t>External scraper</t>
        </is>
      </c>
      <c r="E71" s="19" t="inlineStr">
        <is>
          <t>N/A</t>
        </is>
      </c>
      <c r="F71" s="19" t="inlineStr">
        <is>
          <t>Partial</t>
        </is>
      </c>
      <c r="G71" s="19" t="inlineStr">
        <is>
          <t>Yes</t>
        </is>
      </c>
      <c r="H71" s="19" t="inlineStr">
        <is>
          <t>N/A</t>
        </is>
      </c>
      <c r="I71" s="19" t="inlineStr">
        <is>
          <t>N/A</t>
        </is>
      </c>
      <c r="J71" s="19" t="inlineStr">
        <is>
          <t>Not Started</t>
        </is>
      </c>
      <c r="K71" s="19" t="inlineStr">
        <is>
          <t>Partial</t>
        </is>
      </c>
      <c r="L71" s="19" t="inlineStr">
        <is>
          <t>Not Tested</t>
        </is>
      </c>
      <c r="M71" s="19" t="inlineStr">
        <is>
          <t>Medium</t>
        </is>
      </c>
      <c r="N71" s="19" t="inlineStr">
        <is>
          <t>High</t>
        </is>
      </c>
      <c r="O71" s="19" t="inlineStr">
        <is>
          <t>GovExams</t>
        </is>
      </c>
      <c r="P71" s="19" t="inlineStr">
        <is>
          <t>Rohan Mehta</t>
        </is>
      </c>
      <c r="Q71" s="19" t="n">
        <v>16</v>
      </c>
      <c r="R71" s="19" t="n">
        <v>0</v>
      </c>
      <c r="S71" s="19" t="inlineStr">
        <is>
          <t>Not deployed</t>
        </is>
      </c>
      <c r="T71" s="19" t="inlineStr">
        <is>
          <t>/app/mock-test</t>
        </is>
      </c>
      <c r="U71" s="19">
        <f>IFERROR(Environments!$B$3&amp;T71,T71)</f>
        <v/>
      </c>
      <c r="V71" s="19" t="inlineStr">
        <is>
          <t>Open /app/mock-test. Exercise 'Python scraper service' (External scraper). Confirm happy path for intended role; note plan gates and credit toasts.</t>
        </is>
      </c>
      <c r="W71" s="19" t="inlineStr">
        <is>
          <t>Free+</t>
        </is>
      </c>
      <c r="X71" s="19" t="inlineStr">
        <is>
          <t>0 / N/A</t>
        </is>
      </c>
      <c r="Y71" s="19" t="inlineStr"/>
    </row>
    <row r="72">
      <c r="A72" s="20" t="inlineStr">
        <is>
          <t>FEAT-070</t>
        </is>
      </c>
      <c r="B72" s="20" t="inlineStr">
        <is>
          <t>Gov Exam Mock Tests</t>
        </is>
      </c>
      <c r="C72" s="20" t="inlineStr">
        <is>
          <t>India region gate</t>
        </is>
      </c>
      <c r="D72" s="20" t="inlineStr">
        <is>
          <t>India-only UI/gate</t>
        </is>
      </c>
      <c r="E72" s="20" t="inlineStr">
        <is>
          <t>Yes</t>
        </is>
      </c>
      <c r="F72" s="20" t="inlineStr">
        <is>
          <t>Yes</t>
        </is>
      </c>
      <c r="G72" s="20" t="inlineStr">
        <is>
          <t>N/A</t>
        </is>
      </c>
      <c r="H72" s="20" t="inlineStr">
        <is>
          <t>N/A</t>
        </is>
      </c>
      <c r="I72" s="20" t="inlineStr">
        <is>
          <t>N/A</t>
        </is>
      </c>
      <c r="J72" s="20" t="inlineStr">
        <is>
          <t>Completed</t>
        </is>
      </c>
      <c r="K72" s="20" t="inlineStr">
        <is>
          <t>Partial</t>
        </is>
      </c>
      <c r="L72" s="20" t="inlineStr">
        <is>
          <t>Passed</t>
        </is>
      </c>
      <c r="M72" s="20" t="inlineStr">
        <is>
          <t>Low</t>
        </is>
      </c>
      <c r="N72" s="20" t="inlineStr">
        <is>
          <t>Low</t>
        </is>
      </c>
      <c r="O72" s="20" t="inlineStr">
        <is>
          <t>Platform</t>
        </is>
      </c>
      <c r="P72" s="20" t="inlineStr">
        <is>
          <t>Kavya Iyer</t>
        </is>
      </c>
      <c r="Q72" s="20" t="n">
        <v>1</v>
      </c>
      <c r="R72" s="20" t="n">
        <v>0.5</v>
      </c>
      <c r="S72" s="20" t="inlineStr">
        <is>
          <t>Claims removed; gate disabled</t>
        </is>
      </c>
      <c r="T72" s="20" t="inlineStr">
        <is>
          <t>/app/mock-test</t>
        </is>
      </c>
      <c r="U72" s="20">
        <f>IFERROR(Environments!$B$3&amp;T72,T72)</f>
        <v/>
      </c>
      <c r="V72" s="20" t="inlineStr">
        <is>
          <t>Open /app/mock-test. Exercise 'India region gate' (India-only UI/gate). Confirm happy path for intended role; note plan gates and credit toasts.</t>
        </is>
      </c>
      <c r="W72" s="20" t="inlineStr">
        <is>
          <t>Free+</t>
        </is>
      </c>
      <c r="X72" s="20" t="inlineStr">
        <is>
          <t>0 / N/A</t>
        </is>
      </c>
      <c r="Y72" s="20" t="inlineStr"/>
    </row>
    <row r="73">
      <c r="A73" s="19" t="inlineStr">
        <is>
          <t>FEAT-071</t>
        </is>
      </c>
      <c r="B73" s="19" t="inlineStr">
        <is>
          <t>Settings</t>
        </is>
      </c>
      <c r="C73" s="19" t="inlineStr">
        <is>
          <t>Profile/audio/appearance</t>
        </is>
      </c>
      <c r="D73" s="19" t="inlineStr">
        <is>
          <t>Core settings</t>
        </is>
      </c>
      <c r="E73" s="19" t="inlineStr">
        <is>
          <t>Yes</t>
        </is>
      </c>
      <c r="F73" s="19" t="inlineStr">
        <is>
          <t>Yes</t>
        </is>
      </c>
      <c r="G73" s="19" t="inlineStr">
        <is>
          <t>Yes</t>
        </is>
      </c>
      <c r="H73" s="19" t="inlineStr">
        <is>
          <t>N/A</t>
        </is>
      </c>
      <c r="I73" s="19" t="inlineStr">
        <is>
          <t>N/A</t>
        </is>
      </c>
      <c r="J73" s="19" t="inlineStr">
        <is>
          <t>Completed</t>
        </is>
      </c>
      <c r="K73" s="19" t="inlineStr">
        <is>
          <t>Fully Implemented</t>
        </is>
      </c>
      <c r="L73" s="19" t="inlineStr">
        <is>
          <t>Passed</t>
        </is>
      </c>
      <c r="M73" s="19" t="inlineStr">
        <is>
          <t>High</t>
        </is>
      </c>
      <c r="N73" s="19" t="inlineStr">
        <is>
          <t>Low</t>
        </is>
      </c>
      <c r="O73" s="19" t="inlineStr">
        <is>
          <t>Platform</t>
        </is>
      </c>
      <c r="P73" s="19" t="inlineStr">
        <is>
          <t>Asha Sharma</t>
        </is>
      </c>
      <c r="Q73" s="19" t="n">
        <v>2</v>
      </c>
      <c r="R73" s="19" t="n">
        <v>1.5</v>
      </c>
      <c r="S73" s="19" t="inlineStr"/>
      <c r="T73" s="19" t="inlineStr">
        <is>
          <t>/app/settings</t>
        </is>
      </c>
      <c r="U73" s="19">
        <f>IFERROR(Environments!$B$3&amp;T73,T73)</f>
        <v/>
      </c>
      <c r="V73" s="19" t="inlineStr">
        <is>
          <t>Open /app/settings. Exercise 'Profile/audio/appearance' (Core settings). Confirm happy path for intended role; note plan gates and credit toasts.</t>
        </is>
      </c>
      <c r="W73" s="19" t="inlineStr">
        <is>
          <t>Free+</t>
        </is>
      </c>
      <c r="X73" s="19" t="inlineStr">
        <is>
          <t>0 / N/A</t>
        </is>
      </c>
      <c r="Y73" s="19" t="inlineStr"/>
    </row>
    <row r="74">
      <c r="A74" s="20" t="inlineStr">
        <is>
          <t>FEAT-072</t>
        </is>
      </c>
      <c r="B74" s="20" t="inlineStr">
        <is>
          <t>Settings</t>
        </is>
      </c>
      <c r="C74" s="20" t="inlineStr">
        <is>
          <t>Security MFA settings</t>
        </is>
      </c>
      <c r="D74" s="20" t="inlineStr">
        <is>
          <t>Password + TOTP</t>
        </is>
      </c>
      <c r="E74" s="20" t="inlineStr">
        <is>
          <t>Yes</t>
        </is>
      </c>
      <c r="F74" s="20" t="inlineStr">
        <is>
          <t>Yes</t>
        </is>
      </c>
      <c r="G74" s="20" t="inlineStr">
        <is>
          <t>Yes</t>
        </is>
      </c>
      <c r="H74" s="20" t="inlineStr">
        <is>
          <t>Yes</t>
        </is>
      </c>
      <c r="I74" s="20" t="inlineStr">
        <is>
          <t>N/A</t>
        </is>
      </c>
      <c r="J74" s="20" t="inlineStr">
        <is>
          <t>Completed</t>
        </is>
      </c>
      <c r="K74" s="20" t="inlineStr">
        <is>
          <t>Fully Implemented</t>
        </is>
      </c>
      <c r="L74" s="20" t="inlineStr">
        <is>
          <t>In Testing</t>
        </is>
      </c>
      <c r="M74" s="20" t="inlineStr">
        <is>
          <t>Critical</t>
        </is>
      </c>
      <c r="N74" s="20" t="inlineStr">
        <is>
          <t>High</t>
        </is>
      </c>
      <c r="O74" s="20" t="inlineStr">
        <is>
          <t>Platform</t>
        </is>
      </c>
      <c r="P74" s="20" t="inlineStr">
        <is>
          <t>Asha Sharma</t>
        </is>
      </c>
      <c r="Q74" s="20" t="n">
        <v>2</v>
      </c>
      <c r="R74" s="20" t="n">
        <v>1</v>
      </c>
      <c r="S74" s="20" t="inlineStr"/>
      <c r="T74" s="20" t="inlineStr">
        <is>
          <t>/app/settings</t>
        </is>
      </c>
      <c r="U74" s="20">
        <f>IFERROR(Environments!$B$3&amp;T74,T74)</f>
        <v/>
      </c>
      <c r="V74" s="20" t="inlineStr">
        <is>
          <t>Open /app/settings. Exercise 'Security MFA settings' (Password + TOTP). Confirm happy path for intended role; note plan gates and credit toasts.</t>
        </is>
      </c>
      <c r="W74" s="20" t="inlineStr">
        <is>
          <t>Free+</t>
        </is>
      </c>
      <c r="X74" s="20" t="inlineStr">
        <is>
          <t>0 / N/A</t>
        </is>
      </c>
      <c r="Y74" s="20" t="inlineStr"/>
    </row>
    <row r="75">
      <c r="A75" s="19" t="inlineStr">
        <is>
          <t>FEAT-073</t>
        </is>
      </c>
      <c r="B75" s="19" t="inlineStr">
        <is>
          <t>Settings</t>
        </is>
      </c>
      <c r="C75" s="19" t="inlineStr">
        <is>
          <t>Data export / delete</t>
        </is>
      </c>
      <c r="D75" s="19" t="inlineStr">
        <is>
          <t>GDPR export delete</t>
        </is>
      </c>
      <c r="E75" s="19" t="inlineStr">
        <is>
          <t>Yes</t>
        </is>
      </c>
      <c r="F75" s="19" t="inlineStr">
        <is>
          <t>Yes</t>
        </is>
      </c>
      <c r="G75" s="19" t="inlineStr">
        <is>
          <t>Yes</t>
        </is>
      </c>
      <c r="H75" s="19" t="inlineStr">
        <is>
          <t>Yes</t>
        </is>
      </c>
      <c r="I75" s="19" t="inlineStr">
        <is>
          <t>Yes</t>
        </is>
      </c>
      <c r="J75" s="19" t="inlineStr">
        <is>
          <t>Completed</t>
        </is>
      </c>
      <c r="K75" s="19" t="inlineStr">
        <is>
          <t>Fully Implemented</t>
        </is>
      </c>
      <c r="L75" s="19" t="inlineStr">
        <is>
          <t>In Testing</t>
        </is>
      </c>
      <c r="M75" s="19" t="inlineStr">
        <is>
          <t>High</t>
        </is>
      </c>
      <c r="N75" s="19" t="inlineStr">
        <is>
          <t>High</t>
        </is>
      </c>
      <c r="O75" s="19" t="inlineStr">
        <is>
          <t>Platform</t>
        </is>
      </c>
      <c r="P75" s="19" t="inlineStr">
        <is>
          <t>Dev Patel</t>
        </is>
      </c>
      <c r="Q75" s="19" t="n">
        <v>3</v>
      </c>
      <c r="R75" s="19" t="n">
        <v>1.5</v>
      </c>
      <c r="S75" s="19" t="inlineStr"/>
      <c r="T75" s="19" t="inlineStr">
        <is>
          <t>/app/settings</t>
        </is>
      </c>
      <c r="U75" s="19">
        <f>IFERROR(Environments!$B$3&amp;T75,T75)</f>
        <v/>
      </c>
      <c r="V75" s="19" t="inlineStr">
        <is>
          <t>Open /app/settings. Exercise 'Data export / delete' (GDPR export delete). Confirm happy path for intended role; note plan gates and credit toasts.</t>
        </is>
      </c>
      <c r="W75" s="19" t="inlineStr">
        <is>
          <t>Free+</t>
        </is>
      </c>
      <c r="X75" s="19" t="inlineStr">
        <is>
          <t>0 / N/A</t>
        </is>
      </c>
      <c r="Y75" s="19" t="inlineStr"/>
    </row>
    <row r="76">
      <c r="A76" s="20" t="inlineStr">
        <is>
          <t>FEAT-074</t>
        </is>
      </c>
      <c r="B76" s="20" t="inlineStr">
        <is>
          <t>Settings</t>
        </is>
      </c>
      <c r="C76" s="20" t="inlineStr">
        <is>
          <t>Hotkeys settings</t>
        </is>
      </c>
      <c r="D76" s="20" t="inlineStr">
        <is>
          <t>Overlay hotkeys UI</t>
        </is>
      </c>
      <c r="E76" s="20" t="inlineStr">
        <is>
          <t>Yes</t>
        </is>
      </c>
      <c r="F76" s="20" t="inlineStr">
        <is>
          <t>N/A</t>
        </is>
      </c>
      <c r="G76" s="20" t="inlineStr">
        <is>
          <t>N/A</t>
        </is>
      </c>
      <c r="H76" s="20" t="inlineStr">
        <is>
          <t>N/A</t>
        </is>
      </c>
      <c r="I76" s="20" t="inlineStr">
        <is>
          <t>N/A</t>
        </is>
      </c>
      <c r="J76" s="20" t="inlineStr">
        <is>
          <t>Completed</t>
        </is>
      </c>
      <c r="K76" s="20" t="inlineStr">
        <is>
          <t>Fully Implemented</t>
        </is>
      </c>
      <c r="L76" s="20" t="inlineStr">
        <is>
          <t>Passed</t>
        </is>
      </c>
      <c r="M76" s="20" t="inlineStr">
        <is>
          <t>Medium</t>
        </is>
      </c>
      <c r="N76" s="20" t="inlineStr">
        <is>
          <t>Low</t>
        </is>
      </c>
      <c r="O76" s="20" t="inlineStr">
        <is>
          <t>Desktop</t>
        </is>
      </c>
      <c r="P76" s="20" t="inlineStr">
        <is>
          <t>Dev Patel</t>
        </is>
      </c>
      <c r="Q76" s="20" t="n">
        <v>1.5</v>
      </c>
      <c r="R76" s="20" t="n">
        <v>1</v>
      </c>
      <c r="S76" s="20" t="inlineStr"/>
      <c r="T76" s="20" t="inlineStr">
        <is>
          <t>/app/settings</t>
        </is>
      </c>
      <c r="U76" s="20">
        <f>IFERROR(Environments!$B$3&amp;T76,T76)</f>
        <v/>
      </c>
      <c r="V76" s="20" t="inlineStr">
        <is>
          <t>Open /app/settings. Exercise 'Hotkeys settings' (Overlay hotkeys UI). Confirm happy path for intended role; note plan gates and credit toasts.</t>
        </is>
      </c>
      <c r="W76" s="20" t="inlineStr">
        <is>
          <t>Free+</t>
        </is>
      </c>
      <c r="X76" s="20" t="inlineStr">
        <is>
          <t>0 / N/A</t>
        </is>
      </c>
      <c r="Y76" s="20" t="inlineStr"/>
    </row>
    <row r="77">
      <c r="A77" s="19" t="inlineStr">
        <is>
          <t>FEAT-075</t>
        </is>
      </c>
      <c r="B77" s="19" t="inlineStr">
        <is>
          <t>Settings</t>
        </is>
      </c>
      <c r="C77" s="19" t="inlineStr">
        <is>
          <t>Privacy toggles</t>
        </is>
      </c>
      <c r="D77" s="19" t="inlineStr">
        <is>
          <t>Privacy prefs + analytics opt-out</t>
        </is>
      </c>
      <c r="E77" s="19" t="inlineStr">
        <is>
          <t>Yes</t>
        </is>
      </c>
      <c r="F77" s="19" t="inlineStr">
        <is>
          <t>Partial</t>
        </is>
      </c>
      <c r="G77" s="19" t="inlineStr">
        <is>
          <t>Yes</t>
        </is>
      </c>
      <c r="H77" s="19" t="inlineStr">
        <is>
          <t>N/A</t>
        </is>
      </c>
      <c r="I77" s="19" t="inlineStr">
        <is>
          <t>N/A</t>
        </is>
      </c>
      <c r="J77" s="19" t="inlineStr">
        <is>
          <t>Completed</t>
        </is>
      </c>
      <c r="K77" s="19" t="inlineStr">
        <is>
          <t>Partial</t>
        </is>
      </c>
      <c r="L77" s="19" t="inlineStr">
        <is>
          <t>Ready</t>
        </is>
      </c>
      <c r="M77" s="19" t="inlineStr">
        <is>
          <t>Medium</t>
        </is>
      </c>
      <c r="N77" s="19" t="inlineStr">
        <is>
          <t>Medium</t>
        </is>
      </c>
      <c r="O77" s="19" t="inlineStr">
        <is>
          <t>Platform</t>
        </is>
      </c>
      <c r="P77" s="19" t="inlineStr">
        <is>
          <t>Asha Sharma</t>
        </is>
      </c>
      <c r="Q77" s="19" t="n">
        <v>1.5</v>
      </c>
      <c r="R77" s="19" t="n">
        <v>1</v>
      </c>
      <c r="S77" s="19" t="inlineStr">
        <is>
          <t>PostHog enforced; others honesty</t>
        </is>
      </c>
      <c r="T77" s="19" t="inlineStr">
        <is>
          <t>/app/settings/privacy</t>
        </is>
      </c>
      <c r="U77" s="19">
        <f>IFERROR(Environments!$B$3&amp;T77,T77)</f>
        <v/>
      </c>
      <c r="V77" s="19" t="inlineStr">
        <is>
          <t>Settings → Privacy. Save analytics off; confirm PostHog opt-out. Other toggles show honesty copy.</t>
        </is>
      </c>
      <c r="W77" s="19" t="inlineStr">
        <is>
          <t>Free+</t>
        </is>
      </c>
      <c r="X77" s="19" t="inlineStr">
        <is>
          <t>0 / N/A</t>
        </is>
      </c>
      <c r="Y77" s="19" t="inlineStr"/>
    </row>
    <row r="78">
      <c r="A78" s="20" t="inlineStr">
        <is>
          <t>FEAT-076</t>
        </is>
      </c>
      <c r="B78" s="20" t="inlineStr">
        <is>
          <t>Settings</t>
        </is>
      </c>
      <c r="C78" s="20" t="inlineStr">
        <is>
          <t>Notification toggles</t>
        </is>
      </c>
      <c r="D78" s="20" t="inlineStr">
        <is>
          <t>Email/push prefs</t>
        </is>
      </c>
      <c r="E78" s="20" t="inlineStr">
        <is>
          <t>Yes</t>
        </is>
      </c>
      <c r="F78" s="20" t="inlineStr">
        <is>
          <t>Partial</t>
        </is>
      </c>
      <c r="G78" s="20" t="inlineStr">
        <is>
          <t>Yes</t>
        </is>
      </c>
      <c r="H78" s="20" t="inlineStr">
        <is>
          <t>N/A</t>
        </is>
      </c>
      <c r="I78" s="20" t="inlineStr">
        <is>
          <t>N/A</t>
        </is>
      </c>
      <c r="J78" s="20" t="inlineStr">
        <is>
          <t>In Progress</t>
        </is>
      </c>
      <c r="K78" s="20" t="inlineStr">
        <is>
          <t>Partial</t>
        </is>
      </c>
      <c r="L78" s="20" t="inlineStr">
        <is>
          <t>Failed</t>
        </is>
      </c>
      <c r="M78" s="20" t="inlineStr">
        <is>
          <t>Medium</t>
        </is>
      </c>
      <c r="N78" s="20" t="inlineStr">
        <is>
          <t>Medium</t>
        </is>
      </c>
      <c r="O78" s="20" t="inlineStr">
        <is>
          <t>Platform</t>
        </is>
      </c>
      <c r="P78" s="20" t="inlineStr">
        <is>
          <t>Asha Sharma</t>
        </is>
      </c>
      <c r="Q78" s="20" t="n">
        <v>1.5</v>
      </c>
      <c r="R78" s="20" t="n">
        <v>0.5</v>
      </c>
      <c r="S78" s="20" t="inlineStr">
        <is>
          <t>Saved never read</t>
        </is>
      </c>
      <c r="T78" s="20" t="inlineStr">
        <is>
          <t>/app/settings</t>
        </is>
      </c>
      <c r="U78" s="20">
        <f>IFERROR(Environments!$B$3&amp;T78,T78)</f>
        <v/>
      </c>
      <c r="V78" s="20" t="inlineStr">
        <is>
          <t>Open /app/settings. Exercise 'Notification toggles' (Email/push prefs). Confirm happy path for intended role; note plan gates and credit toasts.</t>
        </is>
      </c>
      <c r="W78" s="20" t="inlineStr">
        <is>
          <t>Free+</t>
        </is>
      </c>
      <c r="X78" s="20" t="inlineStr">
        <is>
          <t>0 / N/A</t>
        </is>
      </c>
      <c r="Y78" s="20" t="inlineStr"/>
    </row>
    <row r="79">
      <c r="A79" s="19" t="inlineStr">
        <is>
          <t>FEAT-077</t>
        </is>
      </c>
      <c r="B79" s="19" t="inlineStr">
        <is>
          <t>Settings</t>
        </is>
      </c>
      <c r="C79" s="19" t="inlineStr">
        <is>
          <t>Retention polish</t>
        </is>
      </c>
      <c r="D79" s="19" t="inlineStr">
        <is>
          <t>Data retention</t>
        </is>
      </c>
      <c r="E79" s="19" t="inlineStr">
        <is>
          <t>Yes</t>
        </is>
      </c>
      <c r="F79" s="19" t="inlineStr">
        <is>
          <t>Partial</t>
        </is>
      </c>
      <c r="G79" s="19" t="inlineStr">
        <is>
          <t>Partial</t>
        </is>
      </c>
      <c r="H79" s="19" t="inlineStr">
        <is>
          <t>N/A</t>
        </is>
      </c>
      <c r="I79" s="19" t="inlineStr">
        <is>
          <t>N/A</t>
        </is>
      </c>
      <c r="J79" s="19" t="inlineStr">
        <is>
          <t>In Progress</t>
        </is>
      </c>
      <c r="K79" s="19" t="inlineStr">
        <is>
          <t>Partial</t>
        </is>
      </c>
      <c r="L79" s="19" t="inlineStr">
        <is>
          <t>Not Tested</t>
        </is>
      </c>
      <c r="M79" s="19" t="inlineStr">
        <is>
          <t>Low</t>
        </is>
      </c>
      <c r="N79" s="19" t="inlineStr">
        <is>
          <t>Low</t>
        </is>
      </c>
      <c r="O79" s="19" t="inlineStr">
        <is>
          <t>Platform</t>
        </is>
      </c>
      <c r="P79" s="19" t="inlineStr">
        <is>
          <t>Asha Sharma</t>
        </is>
      </c>
      <c r="Q79" s="19" t="n">
        <v>2</v>
      </c>
      <c r="R79" s="19" t="n">
        <v>0</v>
      </c>
      <c r="S79" s="19" t="inlineStr">
        <is>
          <t>Not enforced</t>
        </is>
      </c>
      <c r="T79" s="19" t="inlineStr">
        <is>
          <t>/app/settings</t>
        </is>
      </c>
      <c r="U79" s="19">
        <f>IFERROR(Environments!$B$3&amp;T79,T79)</f>
        <v/>
      </c>
      <c r="V79" s="19" t="inlineStr">
        <is>
          <t>Open /app/settings. Exercise 'Retention polish' (Data retention). Confirm happy path for intended role; note plan gates and credit toasts.</t>
        </is>
      </c>
      <c r="W79" s="19" t="inlineStr">
        <is>
          <t>Free+</t>
        </is>
      </c>
      <c r="X79" s="19" t="inlineStr">
        <is>
          <t>0 / N/A</t>
        </is>
      </c>
      <c r="Y79" s="19" t="inlineStr"/>
    </row>
    <row r="80">
      <c r="A80" s="20" t="inlineStr">
        <is>
          <t>FEAT-078</t>
        </is>
      </c>
      <c r="B80" s="20" t="inlineStr">
        <is>
          <t>Settings</t>
        </is>
      </c>
      <c r="C80" s="20" t="inlineStr">
        <is>
          <t>Billing settings tab</t>
        </is>
      </c>
      <c r="D80" s="20" t="inlineStr">
        <is>
          <t>Plan credits portal</t>
        </is>
      </c>
      <c r="E80" s="20" t="inlineStr">
        <is>
          <t>Yes</t>
        </is>
      </c>
      <c r="F80" s="20" t="inlineStr">
        <is>
          <t>Yes</t>
        </is>
      </c>
      <c r="G80" s="20" t="inlineStr">
        <is>
          <t>Yes</t>
        </is>
      </c>
      <c r="H80" s="20" t="inlineStr">
        <is>
          <t>Yes</t>
        </is>
      </c>
      <c r="I80" s="20" t="inlineStr">
        <is>
          <t>Yes</t>
        </is>
      </c>
      <c r="J80" s="20" t="inlineStr">
        <is>
          <t>Completed</t>
        </is>
      </c>
      <c r="K80" s="20" t="inlineStr">
        <is>
          <t>Fully Implemented</t>
        </is>
      </c>
      <c r="L80" s="20" t="inlineStr">
        <is>
          <t>Passed</t>
        </is>
      </c>
      <c r="M80" s="20" t="inlineStr">
        <is>
          <t>Critical</t>
        </is>
      </c>
      <c r="N80" s="20" t="inlineStr">
        <is>
          <t>High</t>
        </is>
      </c>
      <c r="O80" s="20" t="inlineStr">
        <is>
          <t>Billing</t>
        </is>
      </c>
      <c r="P80" s="20" t="inlineStr">
        <is>
          <t>Asha Sharma</t>
        </is>
      </c>
      <c r="Q80" s="20" t="n">
        <v>3</v>
      </c>
      <c r="R80" s="20" t="n">
        <v>2.5</v>
      </c>
      <c r="S80" s="20" t="inlineStr">
        <is>
          <t>Ledger usage P2-6</t>
        </is>
      </c>
      <c r="T80" s="20" t="inlineStr">
        <is>
          <t>/app/settings</t>
        </is>
      </c>
      <c r="U80" s="20">
        <f>IFERROR(Environments!$B$3&amp;T80,T80)</f>
        <v/>
      </c>
      <c r="V80" s="20" t="inlineStr">
        <is>
          <t>Open /app/settings. Exercise 'Billing settings tab' (Plan credits portal). Confirm happy path for intended role; note plan gates and credit toasts.</t>
        </is>
      </c>
      <c r="W80" s="20" t="inlineStr">
        <is>
          <t>Free+</t>
        </is>
      </c>
      <c r="X80" s="20" t="inlineStr">
        <is>
          <t>0 / N/A</t>
        </is>
      </c>
      <c r="Y80" s="20" t="inlineStr"/>
    </row>
    <row r="81">
      <c r="A81" s="19" t="inlineStr">
        <is>
          <t>FEAT-079</t>
        </is>
      </c>
      <c r="B81" s="19" t="inlineStr">
        <is>
          <t>Settings</t>
        </is>
      </c>
      <c r="C81" s="19" t="inlineStr">
        <is>
          <t>Integrations calendar</t>
        </is>
      </c>
      <c r="D81" s="19" t="inlineStr">
        <is>
          <t>Google connect UI</t>
        </is>
      </c>
      <c r="E81" s="19" t="inlineStr">
        <is>
          <t>Yes</t>
        </is>
      </c>
      <c r="F81" s="19" t="inlineStr">
        <is>
          <t>Yes</t>
        </is>
      </c>
      <c r="G81" s="19" t="inlineStr">
        <is>
          <t>Yes</t>
        </is>
      </c>
      <c r="H81" s="19" t="inlineStr">
        <is>
          <t>Yes</t>
        </is>
      </c>
      <c r="I81" s="19" t="inlineStr">
        <is>
          <t>Yes</t>
        </is>
      </c>
      <c r="J81" s="19" t="inlineStr">
        <is>
          <t>In Progress</t>
        </is>
      </c>
      <c r="K81" s="19" t="inlineStr">
        <is>
          <t>Partial</t>
        </is>
      </c>
      <c r="L81" s="19" t="inlineStr">
        <is>
          <t>Blocked</t>
        </is>
      </c>
      <c r="M81" s="19" t="inlineStr">
        <is>
          <t>High</t>
        </is>
      </c>
      <c r="N81" s="19" t="inlineStr">
        <is>
          <t>Medium</t>
        </is>
      </c>
      <c r="O81" s="19" t="inlineStr">
        <is>
          <t>Scheduling</t>
        </is>
      </c>
      <c r="P81" s="19" t="inlineStr">
        <is>
          <t>Rohan Mehta</t>
        </is>
      </c>
      <c r="Q81" s="19" t="n">
        <v>2</v>
      </c>
      <c r="R81" s="19" t="n">
        <v>1</v>
      </c>
      <c r="S81" s="19" t="inlineStr"/>
      <c r="T81" s="19" t="inlineStr">
        <is>
          <t>/app/settings/integrations</t>
        </is>
      </c>
      <c r="U81" s="19">
        <f>IFERROR(Environments!$B$3&amp;T81,T81)</f>
        <v/>
      </c>
      <c r="V81" s="19" t="inlineStr">
        <is>
          <t>Open /app/settings/integrations. Exercise 'Integrations calendar' (Google connect UI). Confirm happy path for intended role; note plan gates and credit toasts.</t>
        </is>
      </c>
      <c r="W81" s="19" t="inlineStr">
        <is>
          <t>Free+</t>
        </is>
      </c>
      <c r="X81" s="19" t="inlineStr">
        <is>
          <t>0 / N/A</t>
        </is>
      </c>
      <c r="Y81" s="19" t="inlineStr"/>
    </row>
    <row r="82">
      <c r="A82" s="20" t="inlineStr">
        <is>
          <t>FEAT-080</t>
        </is>
      </c>
      <c r="B82" s="20" t="inlineStr">
        <is>
          <t>Admin Portal</t>
        </is>
      </c>
      <c r="C82" s="20" t="inlineStr">
        <is>
          <t>Admin users management</t>
        </is>
      </c>
      <c r="D82" s="20" t="inlineStr">
        <is>
          <t>List/filter users</t>
        </is>
      </c>
      <c r="E82" s="20" t="inlineStr">
        <is>
          <t>Yes</t>
        </is>
      </c>
      <c r="F82" s="20" t="inlineStr">
        <is>
          <t>Yes</t>
        </is>
      </c>
      <c r="G82" s="20" t="inlineStr">
        <is>
          <t>Yes</t>
        </is>
      </c>
      <c r="H82" s="20" t="inlineStr">
        <is>
          <t>Yes</t>
        </is>
      </c>
      <c r="I82" s="20" t="inlineStr">
        <is>
          <t>N/A</t>
        </is>
      </c>
      <c r="J82" s="20" t="inlineStr">
        <is>
          <t>Completed</t>
        </is>
      </c>
      <c r="K82" s="20" t="inlineStr">
        <is>
          <t>Fully Implemented</t>
        </is>
      </c>
      <c r="L82" s="20" t="inlineStr">
        <is>
          <t>Passed</t>
        </is>
      </c>
      <c r="M82" s="20" t="inlineStr">
        <is>
          <t>Critical</t>
        </is>
      </c>
      <c r="N82" s="20" t="inlineStr">
        <is>
          <t>High</t>
        </is>
      </c>
      <c r="O82" s="20" t="inlineStr">
        <is>
          <t>Admin</t>
        </is>
      </c>
      <c r="P82" s="20" t="inlineStr">
        <is>
          <t>Rohan Mehta</t>
        </is>
      </c>
      <c r="Q82" s="20" t="n">
        <v>3</v>
      </c>
      <c r="R82" s="20" t="n">
        <v>2</v>
      </c>
      <c r="S82" s="20" t="inlineStr"/>
      <c r="T82" s="20" t="inlineStr">
        <is>
          <t>/app/admin</t>
        </is>
      </c>
      <c r="U82" s="20">
        <f>IFERROR(Environments!$B$3&amp;T82,T82)</f>
        <v/>
      </c>
      <c r="V82" s="20" t="inlineStr">
        <is>
          <t>Open /app/admin. Exercise 'Admin users management' (List/filter users). Confirm happy path for intended role; note plan gates and credit toasts.</t>
        </is>
      </c>
      <c r="W82" s="20" t="inlineStr">
        <is>
          <t>Admin</t>
        </is>
      </c>
      <c r="X82" s="20" t="inlineStr">
        <is>
          <t>0 / N/A</t>
        </is>
      </c>
      <c r="Y82" s="20" t="inlineStr"/>
    </row>
    <row r="83">
      <c r="A83" s="19" t="inlineStr">
        <is>
          <t>FEAT-081</t>
        </is>
      </c>
      <c r="B83" s="19" t="inlineStr">
        <is>
          <t>Admin Portal</t>
        </is>
      </c>
      <c r="C83" s="19" t="inlineStr">
        <is>
          <t>Admin analytics</t>
        </is>
      </c>
      <c r="D83" s="19" t="inlineStr">
        <is>
          <t>DAU/MAU</t>
        </is>
      </c>
      <c r="E83" s="19" t="inlineStr">
        <is>
          <t>Yes</t>
        </is>
      </c>
      <c r="F83" s="19" t="inlineStr">
        <is>
          <t>Yes</t>
        </is>
      </c>
      <c r="G83" s="19" t="inlineStr">
        <is>
          <t>Yes</t>
        </is>
      </c>
      <c r="H83" s="19" t="inlineStr">
        <is>
          <t>Yes</t>
        </is>
      </c>
      <c r="I83" s="19" t="inlineStr">
        <is>
          <t>N/A</t>
        </is>
      </c>
      <c r="J83" s="19" t="inlineStr">
        <is>
          <t>Completed</t>
        </is>
      </c>
      <c r="K83" s="19" t="inlineStr">
        <is>
          <t>Fully Implemented</t>
        </is>
      </c>
      <c r="L83" s="19" t="inlineStr">
        <is>
          <t>In Testing</t>
        </is>
      </c>
      <c r="M83" s="19" t="inlineStr">
        <is>
          <t>High</t>
        </is>
      </c>
      <c r="N83" s="19" t="inlineStr">
        <is>
          <t>Medium</t>
        </is>
      </c>
      <c r="O83" s="19" t="inlineStr">
        <is>
          <t>Admin</t>
        </is>
      </c>
      <c r="P83" s="19" t="inlineStr">
        <is>
          <t>Rohan Mehta</t>
        </is>
      </c>
      <c r="Q83" s="19" t="n">
        <v>3</v>
      </c>
      <c r="R83" s="19" t="n">
        <v>1.5</v>
      </c>
      <c r="S83" s="19" t="inlineStr"/>
      <c r="T83" s="19" t="inlineStr">
        <is>
          <t>/app/admin</t>
        </is>
      </c>
      <c r="U83" s="19">
        <f>IFERROR(Environments!$B$3&amp;T83,T83)</f>
        <v/>
      </c>
      <c r="V83" s="19" t="inlineStr">
        <is>
          <t>Open /app/admin. Exercise 'Admin analytics' (DAU/MAU). Confirm happy path for intended role; note plan gates and credit toasts.</t>
        </is>
      </c>
      <c r="W83" s="19" t="inlineStr">
        <is>
          <t>Admin</t>
        </is>
      </c>
      <c r="X83" s="19" t="inlineStr">
        <is>
          <t>0 / N/A</t>
        </is>
      </c>
      <c r="Y83" s="19" t="inlineStr"/>
    </row>
    <row r="84">
      <c r="A84" s="20" t="inlineStr">
        <is>
          <t>FEAT-082</t>
        </is>
      </c>
      <c r="B84" s="20" t="inlineStr">
        <is>
          <t>Admin Portal</t>
        </is>
      </c>
      <c r="C84" s="20" t="inlineStr">
        <is>
          <t>Admin revenue</t>
        </is>
      </c>
      <c r="D84" s="20" t="inlineStr">
        <is>
          <t>USD/INR MRR</t>
        </is>
      </c>
      <c r="E84" s="20" t="inlineStr">
        <is>
          <t>Yes</t>
        </is>
      </c>
      <c r="F84" s="20" t="inlineStr">
        <is>
          <t>Yes</t>
        </is>
      </c>
      <c r="G84" s="20" t="inlineStr">
        <is>
          <t>Yes</t>
        </is>
      </c>
      <c r="H84" s="20" t="inlineStr">
        <is>
          <t>N/A</t>
        </is>
      </c>
      <c r="I84" s="20" t="inlineStr">
        <is>
          <t>N/A</t>
        </is>
      </c>
      <c r="J84" s="20" t="inlineStr">
        <is>
          <t>Completed</t>
        </is>
      </c>
      <c r="K84" s="20" t="inlineStr">
        <is>
          <t>Fully Implemented</t>
        </is>
      </c>
      <c r="L84" s="20" t="inlineStr">
        <is>
          <t>Passed</t>
        </is>
      </c>
      <c r="M84" s="20" t="inlineStr">
        <is>
          <t>Critical</t>
        </is>
      </c>
      <c r="N84" s="20" t="inlineStr">
        <is>
          <t>High</t>
        </is>
      </c>
      <c r="O84" s="20" t="inlineStr">
        <is>
          <t>Admin</t>
        </is>
      </c>
      <c r="P84" s="20" t="inlineStr">
        <is>
          <t>Rohan Mehta</t>
        </is>
      </c>
      <c r="Q84" s="20" t="n">
        <v>4</v>
      </c>
      <c r="R84" s="20" t="n">
        <v>3</v>
      </c>
      <c r="S84" s="20" t="inlineStr">
        <is>
          <t>P0-6 fixed</t>
        </is>
      </c>
      <c r="T84" s="20" t="inlineStr">
        <is>
          <t>/app/admin</t>
        </is>
      </c>
      <c r="U84" s="20">
        <f>IFERROR(Environments!$B$3&amp;T84,T84)</f>
        <v/>
      </c>
      <c r="V84" s="20" t="inlineStr">
        <is>
          <t>Open /app/admin. Exercise 'Admin revenue' (USD/INR MRR). Confirm happy path for intended role; note plan gates and credit toasts.</t>
        </is>
      </c>
      <c r="W84" s="20" t="inlineStr">
        <is>
          <t>Admin</t>
        </is>
      </c>
      <c r="X84" s="20" t="inlineStr">
        <is>
          <t>0 / N/A</t>
        </is>
      </c>
      <c r="Y84" s="20" t="inlineStr"/>
    </row>
    <row r="85">
      <c r="A85" s="19" t="inlineStr">
        <is>
          <t>FEAT-083</t>
        </is>
      </c>
      <c r="B85" s="19" t="inlineStr">
        <is>
          <t>Admin Portal</t>
        </is>
      </c>
      <c r="C85" s="19" t="inlineStr">
        <is>
          <t>Admin model costs</t>
        </is>
      </c>
      <c r="D85" s="19" t="inlineStr">
        <is>
          <t>Read-only AI_CREDIT_COSTS catalog</t>
        </is>
      </c>
      <c r="E85" s="19" t="inlineStr">
        <is>
          <t>Yes</t>
        </is>
      </c>
      <c r="F85" s="19" t="inlineStr">
        <is>
          <t>Yes</t>
        </is>
      </c>
      <c r="G85" s="19" t="inlineStr">
        <is>
          <t>Yes</t>
        </is>
      </c>
      <c r="H85" s="19" t="inlineStr">
        <is>
          <t>N/A</t>
        </is>
      </c>
      <c r="I85" s="19" t="inlineStr">
        <is>
          <t>N/A</t>
        </is>
      </c>
      <c r="J85" s="19" t="inlineStr">
        <is>
          <t>Completed</t>
        </is>
      </c>
      <c r="K85" s="19" t="inlineStr">
        <is>
          <t>Fully Implemented</t>
        </is>
      </c>
      <c r="L85" s="19" t="inlineStr">
        <is>
          <t>Ready</t>
        </is>
      </c>
      <c r="M85" s="19" t="inlineStr">
        <is>
          <t>Medium</t>
        </is>
      </c>
      <c r="N85" s="19" t="inlineStr">
        <is>
          <t>Medium</t>
        </is>
      </c>
      <c r="O85" s="19" t="inlineStr">
        <is>
          <t>Admin</t>
        </is>
      </c>
      <c r="P85" s="19" t="inlineStr">
        <is>
          <t>Rohan Mehta</t>
        </is>
      </c>
      <c r="Q85" s="19" t="n">
        <v>3</v>
      </c>
      <c r="R85" s="19" t="n">
        <v>2</v>
      </c>
      <c r="S85" s="19" t="inlineStr">
        <is>
          <t>Fake Save removed</t>
        </is>
      </c>
      <c r="T85" s="19" t="inlineStr">
        <is>
          <t>/app/admin/model-costs</t>
        </is>
      </c>
      <c r="U85" s="19">
        <f>IFERROR(Environments!$B$3&amp;T85,T85)</f>
        <v/>
      </c>
      <c r="V85" s="19" t="inlineStr">
        <is>
          <t>Admin → Model costs. Confirm read-only catalog; no Save that pretends to persist.</t>
        </is>
      </c>
      <c r="W85" s="19" t="inlineStr">
        <is>
          <t>Admin</t>
        </is>
      </c>
      <c r="X85" s="19" t="inlineStr">
        <is>
          <t>0 / N/A</t>
        </is>
      </c>
      <c r="Y85" s="19" t="inlineStr"/>
    </row>
    <row r="86">
      <c r="A86" s="20" t="inlineStr">
        <is>
          <t>FEAT-084</t>
        </is>
      </c>
      <c r="B86" s="20" t="inlineStr">
        <is>
          <t>Admin Portal</t>
        </is>
      </c>
      <c r="C86" s="20" t="inlineStr">
        <is>
          <t>Admin feature flags</t>
        </is>
      </c>
      <c r="D86" s="20" t="inlineStr">
        <is>
          <t>DB flags UI</t>
        </is>
      </c>
      <c r="E86" s="20" t="inlineStr">
        <is>
          <t>Yes</t>
        </is>
      </c>
      <c r="F86" s="20" t="inlineStr">
        <is>
          <t>Yes</t>
        </is>
      </c>
      <c r="G86" s="20" t="inlineStr">
        <is>
          <t>Yes</t>
        </is>
      </c>
      <c r="H86" s="20" t="inlineStr">
        <is>
          <t>N/A</t>
        </is>
      </c>
      <c r="I86" s="20" t="inlineStr">
        <is>
          <t>N/A</t>
        </is>
      </c>
      <c r="J86" s="20" t="inlineStr">
        <is>
          <t>Completed</t>
        </is>
      </c>
      <c r="K86" s="20" t="inlineStr">
        <is>
          <t>Fully Implemented</t>
        </is>
      </c>
      <c r="L86" s="20" t="inlineStr">
        <is>
          <t>In Testing</t>
        </is>
      </c>
      <c r="M86" s="20" t="inlineStr">
        <is>
          <t>High</t>
        </is>
      </c>
      <c r="N86" s="20" t="inlineStr">
        <is>
          <t>Medium</t>
        </is>
      </c>
      <c r="O86" s="20" t="inlineStr">
        <is>
          <t>Admin</t>
        </is>
      </c>
      <c r="P86" s="20" t="inlineStr">
        <is>
          <t>Rohan Mehta</t>
        </is>
      </c>
      <c r="Q86" s="20" t="n">
        <v>2</v>
      </c>
      <c r="R86" s="20" t="n">
        <v>1</v>
      </c>
      <c r="S86" s="20" t="inlineStr"/>
      <c r="T86" s="20" t="inlineStr">
        <is>
          <t>/app/admin</t>
        </is>
      </c>
      <c r="U86" s="20">
        <f>IFERROR(Environments!$B$3&amp;T86,T86)</f>
        <v/>
      </c>
      <c r="V86" s="20" t="inlineStr">
        <is>
          <t>Open /app/admin. Exercise 'Admin feature flags' (DB flags UI). Confirm happy path for intended role; note plan gates and credit toasts.</t>
        </is>
      </c>
      <c r="W86" s="20" t="inlineStr">
        <is>
          <t>Admin</t>
        </is>
      </c>
      <c r="X86" s="20" t="inlineStr">
        <is>
          <t>0 / N/A</t>
        </is>
      </c>
      <c r="Y86" s="20" t="inlineStr"/>
    </row>
    <row r="87">
      <c r="A87" s="19" t="inlineStr">
        <is>
          <t>FEAT-085</t>
        </is>
      </c>
      <c r="B87" s="19" t="inlineStr">
        <is>
          <t>Admin Portal</t>
        </is>
      </c>
      <c r="C87" s="19" t="inlineStr">
        <is>
          <t>Admin question editor</t>
        </is>
      </c>
      <c r="D87" s="19" t="inlineStr">
        <is>
          <t>CRUD + filter</t>
        </is>
      </c>
      <c r="E87" s="19" t="inlineStr">
        <is>
          <t>Yes</t>
        </is>
      </c>
      <c r="F87" s="19" t="inlineStr">
        <is>
          <t>Yes</t>
        </is>
      </c>
      <c r="G87" s="19" t="inlineStr">
        <is>
          <t>Yes</t>
        </is>
      </c>
      <c r="H87" s="19" t="inlineStr">
        <is>
          <t>N/A</t>
        </is>
      </c>
      <c r="I87" s="19" t="inlineStr">
        <is>
          <t>N/A</t>
        </is>
      </c>
      <c r="J87" s="19" t="inlineStr">
        <is>
          <t>Completed</t>
        </is>
      </c>
      <c r="K87" s="19" t="inlineStr">
        <is>
          <t>Fully Implemented</t>
        </is>
      </c>
      <c r="L87" s="19" t="inlineStr">
        <is>
          <t>Passed</t>
        </is>
      </c>
      <c r="M87" s="19" t="inlineStr">
        <is>
          <t>High</t>
        </is>
      </c>
      <c r="N87" s="19" t="inlineStr">
        <is>
          <t>Medium</t>
        </is>
      </c>
      <c r="O87" s="19" t="inlineStr">
        <is>
          <t>Admin</t>
        </is>
      </c>
      <c r="P87" s="19" t="inlineStr">
        <is>
          <t>Rohan Mehta</t>
        </is>
      </c>
      <c r="Q87" s="19" t="n">
        <v>4</v>
      </c>
      <c r="R87" s="19" t="n">
        <v>3</v>
      </c>
      <c r="S87" s="19" t="inlineStr">
        <is>
          <t>Filter fixed P1-5</t>
        </is>
      </c>
      <c r="T87" s="19" t="inlineStr">
        <is>
          <t>/app/admin</t>
        </is>
      </c>
      <c r="U87" s="19">
        <f>IFERROR(Environments!$B$3&amp;T87,T87)</f>
        <v/>
      </c>
      <c r="V87" s="19" t="inlineStr">
        <is>
          <t>Open /app/admin. Exercise 'Admin question editor' (CRUD + filter). Confirm happy path for intended role; note plan gates and credit toasts.</t>
        </is>
      </c>
      <c r="W87" s="19" t="inlineStr">
        <is>
          <t>Admin</t>
        </is>
      </c>
      <c r="X87" s="19" t="inlineStr">
        <is>
          <t>0 / N/A</t>
        </is>
      </c>
      <c r="Y87" s="19" t="inlineStr"/>
    </row>
    <row r="88">
      <c r="A88" s="20" t="inlineStr">
        <is>
          <t>FEAT-086</t>
        </is>
      </c>
      <c r="B88" s="20" t="inlineStr">
        <is>
          <t>Admin Portal</t>
        </is>
      </c>
      <c r="C88" s="20" t="inlineStr">
        <is>
          <t>Admin bulk upload</t>
        </is>
      </c>
      <c r="D88" s="20" t="inlineStr">
        <is>
          <t>Excel import</t>
        </is>
      </c>
      <c r="E88" s="20" t="inlineStr">
        <is>
          <t>Yes</t>
        </is>
      </c>
      <c r="F88" s="20" t="inlineStr">
        <is>
          <t>Yes</t>
        </is>
      </c>
      <c r="G88" s="20" t="inlineStr">
        <is>
          <t>Yes</t>
        </is>
      </c>
      <c r="H88" s="20" t="inlineStr">
        <is>
          <t>Yes</t>
        </is>
      </c>
      <c r="I88" s="20" t="inlineStr">
        <is>
          <t>Yes</t>
        </is>
      </c>
      <c r="J88" s="20" t="inlineStr">
        <is>
          <t>Completed</t>
        </is>
      </c>
      <c r="K88" s="20" t="inlineStr">
        <is>
          <t>Fully Implemented</t>
        </is>
      </c>
      <c r="L88" s="20" t="inlineStr">
        <is>
          <t>In Testing</t>
        </is>
      </c>
      <c r="M88" s="20" t="inlineStr">
        <is>
          <t>High</t>
        </is>
      </c>
      <c r="N88" s="20" t="inlineStr">
        <is>
          <t>Medium</t>
        </is>
      </c>
      <c r="O88" s="20" t="inlineStr">
        <is>
          <t>Admin</t>
        </is>
      </c>
      <c r="P88" s="20" t="inlineStr">
        <is>
          <t>Rohan Mehta</t>
        </is>
      </c>
      <c r="Q88" s="20" t="n">
        <v>3</v>
      </c>
      <c r="R88" s="20" t="n">
        <v>2</v>
      </c>
      <c r="S88" s="20" t="inlineStr"/>
      <c r="T88" s="20" t="inlineStr">
        <is>
          <t>/app/admin</t>
        </is>
      </c>
      <c r="U88" s="20">
        <f>IFERROR(Environments!$B$3&amp;T88,T88)</f>
        <v/>
      </c>
      <c r="V88" s="20" t="inlineStr">
        <is>
          <t>Open /app/admin. Exercise 'Admin bulk upload' (Excel import). Confirm happy path for intended role; note plan gates and credit toasts.</t>
        </is>
      </c>
      <c r="W88" s="20" t="inlineStr">
        <is>
          <t>Admin</t>
        </is>
      </c>
      <c r="X88" s="20" t="inlineStr">
        <is>
          <t>0 / N/A</t>
        </is>
      </c>
      <c r="Y88" s="20" t="inlineStr"/>
    </row>
    <row r="89">
      <c r="A89" s="19" t="inlineStr">
        <is>
          <t>FEAT-087</t>
        </is>
      </c>
      <c r="B89" s="19" t="inlineStr">
        <is>
          <t>Admin Portal</t>
        </is>
      </c>
      <c r="C89" s="19" t="inlineStr">
        <is>
          <t>Admin seed questions</t>
        </is>
      </c>
      <c r="D89" s="19" t="inlineStr">
        <is>
          <t>PDF AI extract</t>
        </is>
      </c>
      <c r="E89" s="19" t="inlineStr">
        <is>
          <t>Yes</t>
        </is>
      </c>
      <c r="F89" s="19" t="inlineStr">
        <is>
          <t>Yes</t>
        </is>
      </c>
      <c r="G89" s="19" t="inlineStr">
        <is>
          <t>Yes</t>
        </is>
      </c>
      <c r="H89" s="19" t="inlineStr">
        <is>
          <t>Yes</t>
        </is>
      </c>
      <c r="I89" s="19" t="inlineStr">
        <is>
          <t>Yes</t>
        </is>
      </c>
      <c r="J89" s="19" t="inlineStr">
        <is>
          <t>In Progress</t>
        </is>
      </c>
      <c r="K89" s="19" t="inlineStr">
        <is>
          <t>Partial</t>
        </is>
      </c>
      <c r="L89" s="19" t="inlineStr">
        <is>
          <t>Blocked</t>
        </is>
      </c>
      <c r="M89" s="19" t="inlineStr">
        <is>
          <t>High</t>
        </is>
      </c>
      <c r="N89" s="19" t="inlineStr">
        <is>
          <t>Medium</t>
        </is>
      </c>
      <c r="O89" s="19" t="inlineStr">
        <is>
          <t>Admin</t>
        </is>
      </c>
      <c r="P89" s="19" t="inlineStr">
        <is>
          <t>Rohan Mehta</t>
        </is>
      </c>
      <c r="Q89" s="19" t="n">
        <v>4</v>
      </c>
      <c r="R89" s="19" t="n">
        <v>1</v>
      </c>
      <c r="S89" s="19" t="inlineStr">
        <is>
          <t>Gap-fill stub</t>
        </is>
      </c>
      <c r="T89" s="19" t="inlineStr">
        <is>
          <t>/app/admin</t>
        </is>
      </c>
      <c r="U89" s="19">
        <f>IFERROR(Environments!$B$3&amp;T89,T89)</f>
        <v/>
      </c>
      <c r="V89" s="19" t="inlineStr">
        <is>
          <t>Open /app/admin. Exercise 'Admin seed questions' (PDF AI extract). Confirm happy path for intended role; note plan gates and credit toasts.</t>
        </is>
      </c>
      <c r="W89" s="19" t="inlineStr">
        <is>
          <t>Admin</t>
        </is>
      </c>
      <c r="X89" s="19" t="inlineStr">
        <is>
          <t>0 / N/A</t>
        </is>
      </c>
      <c r="Y89" s="19" t="inlineStr"/>
    </row>
    <row r="90">
      <c r="A90" s="20" t="inlineStr">
        <is>
          <t>FEAT-088</t>
        </is>
      </c>
      <c r="B90" s="20" t="inlineStr">
        <is>
          <t>Admin Portal</t>
        </is>
      </c>
      <c r="C90" s="20" t="inlineStr">
        <is>
          <t>Admin live chat</t>
        </is>
      </c>
      <c r="D90" s="20" t="inlineStr">
        <is>
          <t>Support realtime</t>
        </is>
      </c>
      <c r="E90" s="20" t="inlineStr">
        <is>
          <t>Yes</t>
        </is>
      </c>
      <c r="F90" s="20" t="inlineStr">
        <is>
          <t>Yes</t>
        </is>
      </c>
      <c r="G90" s="20" t="inlineStr">
        <is>
          <t>Yes</t>
        </is>
      </c>
      <c r="H90" s="20" t="inlineStr">
        <is>
          <t>Yes</t>
        </is>
      </c>
      <c r="I90" s="20" t="inlineStr">
        <is>
          <t>N/A</t>
        </is>
      </c>
      <c r="J90" s="20" t="inlineStr">
        <is>
          <t>Completed</t>
        </is>
      </c>
      <c r="K90" s="20" t="inlineStr">
        <is>
          <t>Fully Implemented</t>
        </is>
      </c>
      <c r="L90" s="20" t="inlineStr">
        <is>
          <t>In Testing</t>
        </is>
      </c>
      <c r="M90" s="20" t="inlineStr">
        <is>
          <t>Medium</t>
        </is>
      </c>
      <c r="N90" s="20" t="inlineStr">
        <is>
          <t>Low</t>
        </is>
      </c>
      <c r="O90" s="20" t="inlineStr">
        <is>
          <t>Admin</t>
        </is>
      </c>
      <c r="P90" s="20" t="inlineStr">
        <is>
          <t>Rohan Mehta</t>
        </is>
      </c>
      <c r="Q90" s="20" t="n">
        <v>3</v>
      </c>
      <c r="R90" s="20" t="n">
        <v>2</v>
      </c>
      <c r="S90" s="20" t="inlineStr"/>
      <c r="T90" s="20" t="inlineStr">
        <is>
          <t>/app/admin/live-chat</t>
        </is>
      </c>
      <c r="U90" s="20">
        <f>IFERROR(Environments!$B$3&amp;T90,T90)</f>
        <v/>
      </c>
      <c r="V90" s="20" t="inlineStr">
        <is>
          <t>Open /app/admin/live-chat. Exercise 'Admin live chat' (Support realtime). Confirm happy path for intended role; note plan gates and credit toasts.</t>
        </is>
      </c>
      <c r="W90" s="20" t="inlineStr">
        <is>
          <t>Admin</t>
        </is>
      </c>
      <c r="X90" s="20" t="inlineStr">
        <is>
          <t>0 / N/A</t>
        </is>
      </c>
      <c r="Y90" s="20" t="inlineStr"/>
    </row>
    <row r="91">
      <c r="A91" s="19" t="inlineStr">
        <is>
          <t>FEAT-089</t>
        </is>
      </c>
      <c r="B91" s="19" t="inlineStr">
        <is>
          <t>Admin Portal</t>
        </is>
      </c>
      <c r="C91" s="19" t="inlineStr">
        <is>
          <t>Admin support page</t>
        </is>
      </c>
      <c r="D91" s="19" t="inlineStr">
        <is>
          <t>Queue + Live Chat deep link</t>
        </is>
      </c>
      <c r="E91" s="19" t="inlineStr">
        <is>
          <t>Yes</t>
        </is>
      </c>
      <c r="F91" s="19" t="inlineStr">
        <is>
          <t>Yes</t>
        </is>
      </c>
      <c r="G91" s="19" t="inlineStr">
        <is>
          <t>Yes</t>
        </is>
      </c>
      <c r="H91" s="19" t="inlineStr">
        <is>
          <t>N/A</t>
        </is>
      </c>
      <c r="I91" s="19" t="inlineStr">
        <is>
          <t>N/A</t>
        </is>
      </c>
      <c r="J91" s="19" t="inlineStr">
        <is>
          <t>Completed</t>
        </is>
      </c>
      <c r="K91" s="19" t="inlineStr">
        <is>
          <t>Fully Implemented</t>
        </is>
      </c>
      <c r="L91" s="19" t="inlineStr">
        <is>
          <t>Ready</t>
        </is>
      </c>
      <c r="M91" s="19" t="inlineStr">
        <is>
          <t>Low</t>
        </is>
      </c>
      <c r="N91" s="19" t="inlineStr">
        <is>
          <t>Low</t>
        </is>
      </c>
      <c r="O91" s="19" t="inlineStr">
        <is>
          <t>Admin</t>
        </is>
      </c>
      <c r="P91" s="19" t="inlineStr">
        <is>
          <t>Rohan Mehta</t>
        </is>
      </c>
      <c r="Q91" s="19" t="n">
        <v>1</v>
      </c>
      <c r="R91" s="19" t="n">
        <v>1</v>
      </c>
      <c r="S91" s="19" t="inlineStr">
        <is>
          <t>Links to /app/admin/live-chat</t>
        </is>
      </c>
      <c r="T91" s="19" t="inlineStr">
        <is>
          <t>/app/admin/support</t>
        </is>
      </c>
      <c r="U91" s="19">
        <f>IFERROR(Environments!$B$3&amp;T91,T91)</f>
        <v/>
      </c>
      <c r="V91" s="19" t="inlineStr">
        <is>
          <t>Admin → Support. Use Open Live Chat CTA to reply.</t>
        </is>
      </c>
      <c r="W91" s="19" t="inlineStr">
        <is>
          <t>Admin</t>
        </is>
      </c>
      <c r="X91" s="19" t="inlineStr">
        <is>
          <t>0 / N/A</t>
        </is>
      </c>
      <c r="Y91" s="19" t="inlineStr"/>
    </row>
    <row r="92">
      <c r="A92" s="20" t="inlineStr">
        <is>
          <t>FEAT-090</t>
        </is>
      </c>
      <c r="B92" s="20" t="inlineStr">
        <is>
          <t>Admin Portal</t>
        </is>
      </c>
      <c r="C92" s="20" t="inlineStr">
        <is>
          <t>Admin audit log</t>
        </is>
      </c>
      <c r="D92" s="20" t="inlineStr">
        <is>
          <t>Read audit log</t>
        </is>
      </c>
      <c r="E92" s="20" t="inlineStr">
        <is>
          <t>Yes</t>
        </is>
      </c>
      <c r="F92" s="20" t="inlineStr">
        <is>
          <t>Yes</t>
        </is>
      </c>
      <c r="G92" s="20" t="inlineStr">
        <is>
          <t>Yes</t>
        </is>
      </c>
      <c r="H92" s="20" t="inlineStr">
        <is>
          <t>N/A</t>
        </is>
      </c>
      <c r="I92" s="20" t="inlineStr">
        <is>
          <t>N/A</t>
        </is>
      </c>
      <c r="J92" s="20" t="inlineStr">
        <is>
          <t>Completed</t>
        </is>
      </c>
      <c r="K92" s="20" t="inlineStr">
        <is>
          <t>Fully Implemented</t>
        </is>
      </c>
      <c r="L92" s="20" t="inlineStr">
        <is>
          <t>Passed</t>
        </is>
      </c>
      <c r="M92" s="20" t="inlineStr">
        <is>
          <t>Medium</t>
        </is>
      </c>
      <c r="N92" s="20" t="inlineStr">
        <is>
          <t>Low</t>
        </is>
      </c>
      <c r="O92" s="20" t="inlineStr">
        <is>
          <t>Admin</t>
        </is>
      </c>
      <c r="P92" s="20" t="inlineStr">
        <is>
          <t>Rohan Mehta</t>
        </is>
      </c>
      <c r="Q92" s="20" t="n">
        <v>1.5</v>
      </c>
      <c r="R92" s="20" t="n">
        <v>1</v>
      </c>
      <c r="S92" s="20" t="inlineStr"/>
      <c r="T92" s="20" t="inlineStr">
        <is>
          <t>/app/admin</t>
        </is>
      </c>
      <c r="U92" s="20">
        <f>IFERROR(Environments!$B$3&amp;T92,T92)</f>
        <v/>
      </c>
      <c r="V92" s="20" t="inlineStr">
        <is>
          <t>Open /app/admin. Exercise 'Admin audit log' (Read audit log). Confirm happy path for intended role; note plan gates and credit toasts.</t>
        </is>
      </c>
      <c r="W92" s="20" t="inlineStr">
        <is>
          <t>Admin</t>
        </is>
      </c>
      <c r="X92" s="20" t="inlineStr">
        <is>
          <t>0 / N/A</t>
        </is>
      </c>
      <c r="Y92" s="20" t="inlineStr"/>
    </row>
    <row r="93">
      <c r="A93" s="19" t="inlineStr">
        <is>
          <t>FEAT-091</t>
        </is>
      </c>
      <c r="B93" s="19" t="inlineStr">
        <is>
          <t>Admin Portal</t>
        </is>
      </c>
      <c r="C93" s="19" t="inlineStr">
        <is>
          <t>Admin QA checklist</t>
        </is>
      </c>
      <c r="D93" s="19" t="inlineStr">
        <is>
          <t>qaChecklist.json local-only</t>
        </is>
      </c>
      <c r="E93" s="19" t="inlineStr">
        <is>
          <t>Yes</t>
        </is>
      </c>
      <c r="F93" s="19" t="inlineStr">
        <is>
          <t>N/A</t>
        </is>
      </c>
      <c r="G93" s="19" t="inlineStr">
        <is>
          <t>N/A</t>
        </is>
      </c>
      <c r="H93" s="19" t="inlineStr">
        <is>
          <t>N/A</t>
        </is>
      </c>
      <c r="I93" s="19" t="inlineStr">
        <is>
          <t>N/A</t>
        </is>
      </c>
      <c r="J93" s="19" t="inlineStr">
        <is>
          <t>Completed</t>
        </is>
      </c>
      <c r="K93" s="19" t="inlineStr">
        <is>
          <t>Partial</t>
        </is>
      </c>
      <c r="L93" s="19" t="inlineStr">
        <is>
          <t>Ready</t>
        </is>
      </c>
      <c r="M93" s="19" t="inlineStr">
        <is>
          <t>Low</t>
        </is>
      </c>
      <c r="N93" s="19" t="inlineStr">
        <is>
          <t>Low</t>
        </is>
      </c>
      <c r="O93" s="19" t="inlineStr">
        <is>
          <t>Admin</t>
        </is>
      </c>
      <c r="P93" s="19" t="inlineStr">
        <is>
          <t>Kavya Iyer</t>
        </is>
      </c>
      <c r="Q93" s="19" t="n">
        <v>2</v>
      </c>
      <c r="R93" s="19" t="n">
        <v>1</v>
      </c>
      <c r="S93" s="19" t="inlineStr">
        <is>
          <t>Honesty: browser localStorage only</t>
        </is>
      </c>
      <c r="T93" s="19" t="inlineStr">
        <is>
          <t>/app/admin/qa-checklist</t>
        </is>
      </c>
      <c r="U93" s="19">
        <f>IFERROR(Environments!$B$3&amp;T93,T93)</f>
        <v/>
      </c>
      <c r="V93" s="19" t="inlineStr">
        <is>
          <t>Admin → QA checklist. Confirm local-only banner; statuses stay in this browser.</t>
        </is>
      </c>
      <c r="W93" s="19" t="inlineStr">
        <is>
          <t>Admin</t>
        </is>
      </c>
      <c r="X93" s="19" t="inlineStr">
        <is>
          <t>0 / N/A</t>
        </is>
      </c>
      <c r="Y93" s="19" t="inlineStr"/>
    </row>
    <row r="94">
      <c r="A94" s="20" t="inlineStr">
        <is>
          <t>FEAT-092</t>
        </is>
      </c>
      <c r="B94" s="20" t="inlineStr">
        <is>
          <t>Admin Portal</t>
        </is>
      </c>
      <c r="C94" s="20" t="inlineStr">
        <is>
          <t>Admin promo codes</t>
        </is>
      </c>
      <c r="D94" s="20" t="inlineStr">
        <is>
          <t>CRUD promos</t>
        </is>
      </c>
      <c r="E94" s="20" t="inlineStr">
        <is>
          <t>Yes</t>
        </is>
      </c>
      <c r="F94" s="20" t="inlineStr">
        <is>
          <t>Yes</t>
        </is>
      </c>
      <c r="G94" s="20" t="inlineStr">
        <is>
          <t>Yes</t>
        </is>
      </c>
      <c r="H94" s="20" t="inlineStr">
        <is>
          <t>N/A</t>
        </is>
      </c>
      <c r="I94" s="20" t="inlineStr">
        <is>
          <t>N/A</t>
        </is>
      </c>
      <c r="J94" s="20" t="inlineStr">
        <is>
          <t>Completed</t>
        </is>
      </c>
      <c r="K94" s="20" t="inlineStr">
        <is>
          <t>Fully Implemented</t>
        </is>
      </c>
      <c r="L94" s="20" t="inlineStr">
        <is>
          <t>Passed</t>
        </is>
      </c>
      <c r="M94" s="20" t="inlineStr">
        <is>
          <t>Medium</t>
        </is>
      </c>
      <c r="N94" s="20" t="inlineStr">
        <is>
          <t>Low</t>
        </is>
      </c>
      <c r="O94" s="20" t="inlineStr">
        <is>
          <t>Admin</t>
        </is>
      </c>
      <c r="P94" s="20" t="inlineStr">
        <is>
          <t>Rohan Mehta</t>
        </is>
      </c>
      <c r="Q94" s="20" t="n">
        <v>2</v>
      </c>
      <c r="R94" s="20" t="n">
        <v>1.5</v>
      </c>
      <c r="S94" s="20" t="inlineStr"/>
      <c r="T94" s="20" t="inlineStr">
        <is>
          <t>/app/admin</t>
        </is>
      </c>
      <c r="U94" s="20">
        <f>IFERROR(Environments!$B$3&amp;T94,T94)</f>
        <v/>
      </c>
      <c r="V94" s="20" t="inlineStr">
        <is>
          <t>Open /app/admin. Exercise 'Admin promo codes' (CRUD promos). Confirm happy path for intended role; note plan gates and credit toasts.</t>
        </is>
      </c>
      <c r="W94" s="20" t="inlineStr">
        <is>
          <t>Admin</t>
        </is>
      </c>
      <c r="X94" s="20" t="inlineStr">
        <is>
          <t>0 / N/A</t>
        </is>
      </c>
      <c r="Y94" s="20" t="inlineStr"/>
    </row>
    <row r="95">
      <c r="A95" s="19" t="inlineStr">
        <is>
          <t>FEAT-093</t>
        </is>
      </c>
      <c r="B95" s="19" t="inlineStr">
        <is>
          <t>Admin Portal</t>
        </is>
      </c>
      <c r="C95" s="19" t="inlineStr">
        <is>
          <t>Admin billing settings</t>
        </is>
      </c>
      <c r="D95" s="19" t="inlineStr">
        <is>
          <t>INR prices referral</t>
        </is>
      </c>
      <c r="E95" s="19" t="inlineStr">
        <is>
          <t>Yes</t>
        </is>
      </c>
      <c r="F95" s="19" t="inlineStr">
        <is>
          <t>Yes</t>
        </is>
      </c>
      <c r="G95" s="19" t="inlineStr">
        <is>
          <t>Yes</t>
        </is>
      </c>
      <c r="H95" s="19" t="inlineStr">
        <is>
          <t>N/A</t>
        </is>
      </c>
      <c r="I95" s="19" t="inlineStr">
        <is>
          <t>N/A</t>
        </is>
      </c>
      <c r="J95" s="19" t="inlineStr">
        <is>
          <t>Completed</t>
        </is>
      </c>
      <c r="K95" s="19" t="inlineStr">
        <is>
          <t>Fully Implemented</t>
        </is>
      </c>
      <c r="L95" s="19" t="inlineStr">
        <is>
          <t>In Testing</t>
        </is>
      </c>
      <c r="M95" s="19" t="inlineStr">
        <is>
          <t>High</t>
        </is>
      </c>
      <c r="N95" s="19" t="inlineStr">
        <is>
          <t>Medium</t>
        </is>
      </c>
      <c r="O95" s="19" t="inlineStr">
        <is>
          <t>Admin</t>
        </is>
      </c>
      <c r="P95" s="19" t="inlineStr">
        <is>
          <t>Asha Sharma</t>
        </is>
      </c>
      <c r="Q95" s="19" t="n">
        <v>2</v>
      </c>
      <c r="R95" s="19" t="n">
        <v>1.5</v>
      </c>
      <c r="S95" s="19" t="inlineStr">
        <is>
          <t>auto_deduct UI removed</t>
        </is>
      </c>
      <c r="T95" s="19" t="inlineStr">
        <is>
          <t>/app/admin</t>
        </is>
      </c>
      <c r="U95" s="19">
        <f>IFERROR(Environments!$B$3&amp;T95,T95)</f>
        <v/>
      </c>
      <c r="V95" s="19" t="inlineStr">
        <is>
          <t>Open /app/admin. Exercise 'Admin billing settings' (INR prices referral). Confirm happy path for intended role; note plan gates and credit toasts.</t>
        </is>
      </c>
      <c r="W95" s="19" t="inlineStr">
        <is>
          <t>Admin</t>
        </is>
      </c>
      <c r="X95" s="19" t="inlineStr">
        <is>
          <t>0 / N/A</t>
        </is>
      </c>
      <c r="Y95" s="19" t="inlineStr"/>
    </row>
    <row r="96">
      <c r="A96" s="20" t="inlineStr">
        <is>
          <t>FEAT-094</t>
        </is>
      </c>
      <c r="B96" s="20" t="inlineStr">
        <is>
          <t>Marketing Site</t>
        </is>
      </c>
      <c r="C96" s="20" t="inlineStr">
        <is>
          <t>Landing + pricing pages</t>
        </is>
      </c>
      <c r="D96" s="20" t="inlineStr">
        <is>
          <t>Marketing funnel</t>
        </is>
      </c>
      <c r="E96" s="20" t="inlineStr">
        <is>
          <t>Yes</t>
        </is>
      </c>
      <c r="F96" s="20" t="inlineStr">
        <is>
          <t>Partial</t>
        </is>
      </c>
      <c r="G96" s="20" t="inlineStr">
        <is>
          <t>Yes</t>
        </is>
      </c>
      <c r="H96" s="20" t="inlineStr">
        <is>
          <t>N/A</t>
        </is>
      </c>
      <c r="I96" s="20" t="inlineStr">
        <is>
          <t>N/A</t>
        </is>
      </c>
      <c r="J96" s="20" t="inlineStr">
        <is>
          <t>Completed</t>
        </is>
      </c>
      <c r="K96" s="20" t="inlineStr">
        <is>
          <t>Fully Implemented</t>
        </is>
      </c>
      <c r="L96" s="20" t="inlineStr">
        <is>
          <t>Passed</t>
        </is>
      </c>
      <c r="M96" s="20" t="inlineStr">
        <is>
          <t>High</t>
        </is>
      </c>
      <c r="N96" s="20" t="inlineStr">
        <is>
          <t>Low</t>
        </is>
      </c>
      <c r="O96" s="20" t="inlineStr">
        <is>
          <t>Growth</t>
        </is>
      </c>
      <c r="P96" s="20" t="inlineStr">
        <is>
          <t>Kavya Iyer</t>
        </is>
      </c>
      <c r="Q96" s="20" t="n">
        <v>3</v>
      </c>
      <c r="R96" s="20" t="n">
        <v>2</v>
      </c>
      <c r="S96" s="20" t="inlineStr">
        <is>
          <t>Max $79</t>
        </is>
      </c>
      <c r="T96" s="20" t="inlineStr">
        <is>
          <t>/</t>
        </is>
      </c>
      <c r="U96" s="20">
        <f>IFERROR(Environments!$B$3&amp;T96,T96)</f>
        <v/>
      </c>
      <c r="V96" s="20" t="inlineStr">
        <is>
          <t>Open /. Exercise 'Landing + pricing pages' (Marketing funnel). Confirm happy path for intended role; note plan gates and credit toasts.</t>
        </is>
      </c>
      <c r="W96" s="20" t="inlineStr">
        <is>
          <t>Guest</t>
        </is>
      </c>
      <c r="X96" s="20" t="inlineStr">
        <is>
          <t>0 / N/A</t>
        </is>
      </c>
      <c r="Y96" s="20" t="inlineStr"/>
    </row>
    <row r="97">
      <c r="A97" s="19" t="inlineStr">
        <is>
          <t>FEAT-095</t>
        </is>
      </c>
      <c r="B97" s="19" t="inlineStr">
        <is>
          <t>Marketing Site</t>
        </is>
      </c>
      <c r="C97" s="19" t="inlineStr">
        <is>
          <t>Help/Blog CMS</t>
        </is>
      </c>
      <c r="D97" s="19" t="inlineStr">
        <is>
          <t>DB-backed content</t>
        </is>
      </c>
      <c r="E97" s="19" t="inlineStr">
        <is>
          <t>Yes</t>
        </is>
      </c>
      <c r="F97" s="19" t="inlineStr">
        <is>
          <t>Yes</t>
        </is>
      </c>
      <c r="G97" s="19" t="inlineStr">
        <is>
          <t>Yes</t>
        </is>
      </c>
      <c r="H97" s="19" t="inlineStr">
        <is>
          <t>Yes</t>
        </is>
      </c>
      <c r="I97" s="19" t="inlineStr">
        <is>
          <t>N/A</t>
        </is>
      </c>
      <c r="J97" s="19" t="inlineStr">
        <is>
          <t>Completed</t>
        </is>
      </c>
      <c r="K97" s="19" t="inlineStr">
        <is>
          <t>Fully Implemented</t>
        </is>
      </c>
      <c r="L97" s="19" t="inlineStr">
        <is>
          <t>Passed</t>
        </is>
      </c>
      <c r="M97" s="19" t="inlineStr">
        <is>
          <t>Medium</t>
        </is>
      </c>
      <c r="N97" s="19" t="inlineStr">
        <is>
          <t>Low</t>
        </is>
      </c>
      <c r="O97" s="19" t="inlineStr">
        <is>
          <t>Growth</t>
        </is>
      </c>
      <c r="P97" s="19" t="inlineStr">
        <is>
          <t>Kavya Iyer</t>
        </is>
      </c>
      <c r="Q97" s="19" t="n">
        <v>2</v>
      </c>
      <c r="R97" s="19" t="n">
        <v>1.5</v>
      </c>
      <c r="S97" s="19" t="inlineStr"/>
      <c r="T97" s="19" t="inlineStr">
        <is>
          <t>/</t>
        </is>
      </c>
      <c r="U97" s="19">
        <f>IFERROR(Environments!$B$3&amp;T97,T97)</f>
        <v/>
      </c>
      <c r="V97" s="19" t="inlineStr">
        <is>
          <t>Open /. Exercise 'Help/Blog CMS' (DB-backed content). Confirm happy path for intended role; note plan gates and credit toasts.</t>
        </is>
      </c>
      <c r="W97" s="19" t="inlineStr">
        <is>
          <t>Guest</t>
        </is>
      </c>
      <c r="X97" s="19" t="inlineStr">
        <is>
          <t>0 / N/A</t>
        </is>
      </c>
      <c r="Y97" s="19" t="inlineStr"/>
    </row>
    <row r="98">
      <c r="A98" s="20" t="inlineStr">
        <is>
          <t>FEAT-096</t>
        </is>
      </c>
      <c r="B98" s="20" t="inlineStr">
        <is>
          <t>Billing &amp; Credits</t>
        </is>
      </c>
      <c r="C98" s="20" t="inlineStr">
        <is>
          <t>Stripe checkout + webhooks</t>
        </is>
      </c>
      <c r="D98" s="20" t="inlineStr">
        <is>
          <t>Subscriptions packs</t>
        </is>
      </c>
      <c r="E98" s="20" t="inlineStr">
        <is>
          <t>Yes</t>
        </is>
      </c>
      <c r="F98" s="20" t="inlineStr">
        <is>
          <t>Yes</t>
        </is>
      </c>
      <c r="G98" s="20" t="inlineStr">
        <is>
          <t>Yes</t>
        </is>
      </c>
      <c r="H98" s="20" t="inlineStr">
        <is>
          <t>Yes</t>
        </is>
      </c>
      <c r="I98" s="20" t="inlineStr">
        <is>
          <t>Yes</t>
        </is>
      </c>
      <c r="J98" s="20" t="inlineStr">
        <is>
          <t>Completed</t>
        </is>
      </c>
      <c r="K98" s="20" t="inlineStr">
        <is>
          <t>Fully Implemented</t>
        </is>
      </c>
      <c r="L98" s="20" t="inlineStr">
        <is>
          <t>Passed</t>
        </is>
      </c>
      <c r="M98" s="20" t="inlineStr">
        <is>
          <t>Critical</t>
        </is>
      </c>
      <c r="N98" s="20" t="inlineStr">
        <is>
          <t>Critical</t>
        </is>
      </c>
      <c r="O98" s="20" t="inlineStr">
        <is>
          <t>Billing</t>
        </is>
      </c>
      <c r="P98" s="20" t="inlineStr">
        <is>
          <t>Asha Sharma</t>
        </is>
      </c>
      <c r="Q98" s="20" t="n">
        <v>8</v>
      </c>
      <c r="R98" s="20" t="n">
        <v>6</v>
      </c>
      <c r="S98" s="20" t="inlineStr">
        <is>
          <t>Enterprise price IDs</t>
        </is>
      </c>
      <c r="T98" s="20" t="inlineStr">
        <is>
          <t>/app/settings/billing</t>
        </is>
      </c>
      <c r="U98" s="20">
        <f>IFERROR(Environments!$B$3&amp;T98,T98)</f>
        <v/>
      </c>
      <c r="V98" s="20" t="inlineStr">
        <is>
          <t>Open /app/settings/billing. Exercise 'Stripe checkout + webhooks' (Subscriptions packs). Confirm happy path for intended role; note plan gates and credit toasts.</t>
        </is>
      </c>
      <c r="W98" s="20" t="inlineStr">
        <is>
          <t>Free+</t>
        </is>
      </c>
      <c r="X98" s="20" t="inlineStr">
        <is>
          <t>0 / N/A</t>
        </is>
      </c>
      <c r="Y98" s="20" t="inlineStr"/>
    </row>
    <row r="99">
      <c r="A99" s="19" t="inlineStr">
        <is>
          <t>FEAT-097</t>
        </is>
      </c>
      <c r="B99" s="19" t="inlineStr">
        <is>
          <t>Billing &amp; Credits</t>
        </is>
      </c>
      <c r="C99" s="19" t="inlineStr">
        <is>
          <t>Razorpay INR checkout</t>
        </is>
      </c>
      <c r="D99" s="19" t="inlineStr">
        <is>
          <t>One-time orders</t>
        </is>
      </c>
      <c r="E99" s="19" t="inlineStr">
        <is>
          <t>Yes</t>
        </is>
      </c>
      <c r="F99" s="19" t="inlineStr">
        <is>
          <t>Yes</t>
        </is>
      </c>
      <c r="G99" s="19" t="inlineStr">
        <is>
          <t>Yes</t>
        </is>
      </c>
      <c r="H99" s="19" t="inlineStr">
        <is>
          <t>Yes</t>
        </is>
      </c>
      <c r="I99" s="19" t="inlineStr">
        <is>
          <t>Yes</t>
        </is>
      </c>
      <c r="J99" s="19" t="inlineStr">
        <is>
          <t>In Progress</t>
        </is>
      </c>
      <c r="K99" s="19" t="inlineStr">
        <is>
          <t>Partial</t>
        </is>
      </c>
      <c r="L99" s="19" t="inlineStr">
        <is>
          <t>Failed</t>
        </is>
      </c>
      <c r="M99" s="19" t="inlineStr">
        <is>
          <t>Critical</t>
        </is>
      </c>
      <c r="N99" s="19" t="inlineStr">
        <is>
          <t>High</t>
        </is>
      </c>
      <c r="O99" s="19" t="inlineStr">
        <is>
          <t>Billing</t>
        </is>
      </c>
      <c r="P99" s="19" t="inlineStr">
        <is>
          <t>Asha Sharma</t>
        </is>
      </c>
      <c r="Q99" s="19" t="n">
        <v>6</v>
      </c>
      <c r="R99" s="19" t="n">
        <v>4</v>
      </c>
      <c r="S99" s="19" t="inlineStr">
        <is>
          <t>No recurring</t>
        </is>
      </c>
      <c r="T99" s="19" t="inlineStr">
        <is>
          <t>/app/settings/billing</t>
        </is>
      </c>
      <c r="U99" s="19">
        <f>IFERROR(Environments!$B$3&amp;T99,T99)</f>
        <v/>
      </c>
      <c r="V99" s="19" t="inlineStr">
        <is>
          <t>Open /app/settings/billing. Exercise 'Razorpay INR checkout' (One-time orders). Confirm happy path for intended role; note plan gates and credit toasts.</t>
        </is>
      </c>
      <c r="W99" s="19" t="inlineStr">
        <is>
          <t>Free+</t>
        </is>
      </c>
      <c r="X99" s="19" t="inlineStr">
        <is>
          <t>0 / N/A</t>
        </is>
      </c>
      <c r="Y99" s="19" t="inlineStr"/>
    </row>
    <row r="100">
      <c r="A100" s="20" t="inlineStr">
        <is>
          <t>FEAT-098</t>
        </is>
      </c>
      <c r="B100" s="20" t="inlineStr">
        <is>
          <t>Billing &amp; Credits</t>
        </is>
      </c>
      <c r="C100" s="20" t="inlineStr">
        <is>
          <t>Credits ledger</t>
        </is>
      </c>
      <c r="D100" s="20" t="inlineStr">
        <is>
          <t>Server-authoritative</t>
        </is>
      </c>
      <c r="E100" s="20" t="inlineStr">
        <is>
          <t>Yes</t>
        </is>
      </c>
      <c r="F100" s="20" t="inlineStr">
        <is>
          <t>Yes</t>
        </is>
      </c>
      <c r="G100" s="20" t="inlineStr">
        <is>
          <t>Yes</t>
        </is>
      </c>
      <c r="H100" s="20" t="inlineStr">
        <is>
          <t>Yes</t>
        </is>
      </c>
      <c r="I100" s="20" t="inlineStr">
        <is>
          <t>Yes</t>
        </is>
      </c>
      <c r="J100" s="20" t="inlineStr">
        <is>
          <t>Completed</t>
        </is>
      </c>
      <c r="K100" s="20" t="inlineStr">
        <is>
          <t>Fully Implemented</t>
        </is>
      </c>
      <c r="L100" s="20" t="inlineStr">
        <is>
          <t>Passed</t>
        </is>
      </c>
      <c r="M100" s="20" t="inlineStr">
        <is>
          <t>Critical</t>
        </is>
      </c>
      <c r="N100" s="20" t="inlineStr">
        <is>
          <t>Critical</t>
        </is>
      </c>
      <c r="O100" s="20" t="inlineStr">
        <is>
          <t>Billing</t>
        </is>
      </c>
      <c r="P100" s="20" t="inlineStr">
        <is>
          <t>Dev Patel</t>
        </is>
      </c>
      <c r="Q100" s="20" t="n">
        <v>4</v>
      </c>
      <c r="R100" s="20" t="n">
        <v>3</v>
      </c>
      <c r="S100" s="20" t="inlineStr"/>
      <c r="T100" s="20" t="inlineStr">
        <is>
          <t>/app/settings/billing</t>
        </is>
      </c>
      <c r="U100" s="20">
        <f>IFERROR(Environments!$B$3&amp;T100,T100)</f>
        <v/>
      </c>
      <c r="V100" s="20" t="inlineStr">
        <is>
          <t>Open /app/settings/billing. Exercise 'Credits ledger' (Server-authoritative). Confirm happy path for intended role; note plan gates and credit toasts.</t>
        </is>
      </c>
      <c r="W100" s="20" t="inlineStr">
        <is>
          <t>Free+</t>
        </is>
      </c>
      <c r="X100" s="20" t="inlineStr">
        <is>
          <t>0 / N/A</t>
        </is>
      </c>
      <c r="Y100" s="20" t="inlineStr"/>
    </row>
    <row r="101">
      <c r="A101" s="19" t="inlineStr">
        <is>
          <t>FEAT-099</t>
        </is>
      </c>
      <c r="B101" s="19" t="inlineStr">
        <is>
          <t>Billing &amp; Credits</t>
        </is>
      </c>
      <c r="C101" s="19" t="inlineStr">
        <is>
          <t>Plan gating enforcement</t>
        </is>
      </c>
      <c r="D101" s="19" t="inlineStr">
        <is>
          <t>requirePlan/capability</t>
        </is>
      </c>
      <c r="E101" s="19" t="inlineStr">
        <is>
          <t>Yes</t>
        </is>
      </c>
      <c r="F101" s="19" t="inlineStr">
        <is>
          <t>Yes</t>
        </is>
      </c>
      <c r="G101" s="19" t="inlineStr">
        <is>
          <t>Yes</t>
        </is>
      </c>
      <c r="H101" s="19" t="inlineStr">
        <is>
          <t>Yes</t>
        </is>
      </c>
      <c r="I101" s="19" t="inlineStr">
        <is>
          <t>Yes</t>
        </is>
      </c>
      <c r="J101" s="19" t="inlineStr">
        <is>
          <t>Completed</t>
        </is>
      </c>
      <c r="K101" s="19" t="inlineStr">
        <is>
          <t>Fully Implemented</t>
        </is>
      </c>
      <c r="L101" s="19" t="inlineStr">
        <is>
          <t>Passed</t>
        </is>
      </c>
      <c r="M101" s="19" t="inlineStr">
        <is>
          <t>Critical</t>
        </is>
      </c>
      <c r="N101" s="19" t="inlineStr">
        <is>
          <t>Critical</t>
        </is>
      </c>
      <c r="O101" s="19" t="inlineStr">
        <is>
          <t>Billing</t>
        </is>
      </c>
      <c r="P101" s="19" t="inlineStr">
        <is>
          <t>Dev Patel</t>
        </is>
      </c>
      <c r="Q101" s="19" t="n">
        <v>5</v>
      </c>
      <c r="R101" s="19" t="n">
        <v>4</v>
      </c>
      <c r="S101" s="19" t="inlineStr">
        <is>
          <t>starter→pro remap</t>
        </is>
      </c>
      <c r="T101" s="19" t="inlineStr">
        <is>
          <t>/app/settings/billing</t>
        </is>
      </c>
      <c r="U101" s="19">
        <f>IFERROR(Environments!$B$3&amp;T101,T101)</f>
        <v/>
      </c>
      <c r="V101" s="19" t="inlineStr">
        <is>
          <t>Open /app/settings/billing. Exercise 'Plan gating enforcement' (requirePlan/capability). Confirm happy path for intended role; note plan gates and credit toasts.</t>
        </is>
      </c>
      <c r="W101" s="19" t="inlineStr">
        <is>
          <t>Free+</t>
        </is>
      </c>
      <c r="X101" s="19" t="inlineStr">
        <is>
          <t>0 / N/A</t>
        </is>
      </c>
      <c r="Y101" s="19" t="inlineStr"/>
    </row>
    <row r="102">
      <c r="A102" s="20" t="inlineStr">
        <is>
          <t>FEAT-100</t>
        </is>
      </c>
      <c r="B102" s="20" t="inlineStr">
        <is>
          <t>Billing &amp; Credits</t>
        </is>
      </c>
      <c r="C102" s="20" t="inlineStr">
        <is>
          <t>Money refunds clawback</t>
        </is>
      </c>
      <c r="D102" s="20" t="inlineStr">
        <is>
          <t>Stripe/Razorpay refunds</t>
        </is>
      </c>
      <c r="E102" s="20" t="inlineStr">
        <is>
          <t>N/A</t>
        </is>
      </c>
      <c r="F102" s="20" t="inlineStr">
        <is>
          <t>Yes</t>
        </is>
      </c>
      <c r="G102" s="20" t="inlineStr">
        <is>
          <t>Yes</t>
        </is>
      </c>
      <c r="H102" s="20" t="inlineStr">
        <is>
          <t>Yes</t>
        </is>
      </c>
      <c r="I102" s="20" t="inlineStr">
        <is>
          <t>Yes</t>
        </is>
      </c>
      <c r="J102" s="20" t="inlineStr">
        <is>
          <t>Completed</t>
        </is>
      </c>
      <c r="K102" s="20" t="inlineStr">
        <is>
          <t>Fully Implemented</t>
        </is>
      </c>
      <c r="L102" s="20" t="inlineStr">
        <is>
          <t>In Testing</t>
        </is>
      </c>
      <c r="M102" s="20" t="inlineStr">
        <is>
          <t>Critical</t>
        </is>
      </c>
      <c r="N102" s="20" t="inlineStr">
        <is>
          <t>High</t>
        </is>
      </c>
      <c r="O102" s="20" t="inlineStr">
        <is>
          <t>Billing</t>
        </is>
      </c>
      <c r="P102" s="20" t="inlineStr">
        <is>
          <t>Dev Patel</t>
        </is>
      </c>
      <c r="Q102" s="20" t="n">
        <v>4</v>
      </c>
      <c r="R102" s="20" t="n">
        <v>2</v>
      </c>
      <c r="S102" s="20" t="inlineStr">
        <is>
          <t>P4-2</t>
        </is>
      </c>
      <c r="T102" s="20" t="inlineStr">
        <is>
          <t>/app/settings/billing</t>
        </is>
      </c>
      <c r="U102" s="20">
        <f>IFERROR(Environments!$B$3&amp;T102,T102)</f>
        <v/>
      </c>
      <c r="V102" s="20" t="inlineStr">
        <is>
          <t>Open /app/settings/billing. Exercise 'Money refunds clawback' (Stripe/Razorpay refunds). Confirm happy path for intended role; note plan gates and credit toasts.</t>
        </is>
      </c>
      <c r="W102" s="20" t="inlineStr">
        <is>
          <t>Free+</t>
        </is>
      </c>
      <c r="X102" s="20" t="inlineStr">
        <is>
          <t>0 / N/A</t>
        </is>
      </c>
      <c r="Y102" s="20" t="inlineStr"/>
    </row>
    <row r="103">
      <c r="A103" s="19" t="inlineStr">
        <is>
          <t>FEAT-101</t>
        </is>
      </c>
      <c r="B103" s="19" t="inlineStr">
        <is>
          <t>Billing &amp; Credits</t>
        </is>
      </c>
      <c r="C103" s="19" t="inlineStr">
        <is>
          <t>Razorpay Subscriptions</t>
        </is>
      </c>
      <c r="D103" s="19" t="inlineStr">
        <is>
          <t>Recurring INR</t>
        </is>
      </c>
      <c r="E103" s="19" t="inlineStr">
        <is>
          <t>No</t>
        </is>
      </c>
      <c r="F103" s="19" t="inlineStr">
        <is>
          <t>No</t>
        </is>
      </c>
      <c r="G103" s="19" t="inlineStr">
        <is>
          <t>N/A</t>
        </is>
      </c>
      <c r="H103" s="19" t="inlineStr">
        <is>
          <t>No</t>
        </is>
      </c>
      <c r="I103" s="19" t="inlineStr">
        <is>
          <t>No</t>
        </is>
      </c>
      <c r="J103" s="19" t="inlineStr">
        <is>
          <t>Not Started</t>
        </is>
      </c>
      <c r="K103" s="19" t="inlineStr">
        <is>
          <t>Not Built</t>
        </is>
      </c>
      <c r="L103" s="19" t="inlineStr">
        <is>
          <t>Not Tested</t>
        </is>
      </c>
      <c r="M103" s="19" t="inlineStr">
        <is>
          <t>High</t>
        </is>
      </c>
      <c r="N103" s="19" t="inlineStr">
        <is>
          <t>High</t>
        </is>
      </c>
      <c r="O103" s="19" t="inlineStr">
        <is>
          <t>Billing</t>
        </is>
      </c>
      <c r="P103" s="19" t="inlineStr">
        <is>
          <t>Asha Sharma</t>
        </is>
      </c>
      <c r="Q103" s="19" t="n">
        <v>12</v>
      </c>
      <c r="R103" s="19" t="n">
        <v>0</v>
      </c>
      <c r="S103" s="19" t="inlineStr">
        <is>
          <t>Roadmap</t>
        </is>
      </c>
      <c r="T103" s="19" t="inlineStr">
        <is>
          <t>/app/settings/billing</t>
        </is>
      </c>
      <c r="U103" s="19">
        <f>IFERROR(Environments!$B$3&amp;T103,T103)</f>
        <v/>
      </c>
      <c r="V103" s="19" t="inlineStr">
        <is>
          <t>Open /app/settings/billing. Exercise 'Razorpay Subscriptions' (Recurring INR). Confirm happy path for intended role; note plan gates and credit toasts.</t>
        </is>
      </c>
      <c r="W103" s="19" t="inlineStr">
        <is>
          <t>Free+</t>
        </is>
      </c>
      <c r="X103" s="19" t="inlineStr">
        <is>
          <t>0 / N/A</t>
        </is>
      </c>
      <c r="Y103" s="19" t="inlineStr"/>
    </row>
    <row r="104">
      <c r="A104" s="20" t="inlineStr">
        <is>
          <t>FEAT-102</t>
        </is>
      </c>
      <c r="B104" s="20" t="inlineStr">
        <is>
          <t>Electron Desktop Overlay</t>
        </is>
      </c>
      <c r="C104" s="20" t="inlineStr">
        <is>
          <t>Electron overlay shell</t>
        </is>
      </c>
      <c r="D104" s="20" t="inlineStr">
        <is>
          <t>Always-on-top overlay</t>
        </is>
      </c>
      <c r="E104" s="20" t="inlineStr">
        <is>
          <t>Yes</t>
        </is>
      </c>
      <c r="F104" s="20" t="inlineStr">
        <is>
          <t>N/A</t>
        </is>
      </c>
      <c r="G104" s="20" t="inlineStr">
        <is>
          <t>N/A</t>
        </is>
      </c>
      <c r="H104" s="20" t="inlineStr">
        <is>
          <t>N/A</t>
        </is>
      </c>
      <c r="I104" s="20" t="inlineStr">
        <is>
          <t>N/A</t>
        </is>
      </c>
      <c r="J104" s="20" t="inlineStr">
        <is>
          <t>In Progress</t>
        </is>
      </c>
      <c r="K104" s="20" t="inlineStr">
        <is>
          <t>Partial</t>
        </is>
      </c>
      <c r="L104" s="20" t="inlineStr">
        <is>
          <t>In Testing</t>
        </is>
      </c>
      <c r="M104" s="20" t="inlineStr">
        <is>
          <t>Critical</t>
        </is>
      </c>
      <c r="N104" s="20" t="inlineStr">
        <is>
          <t>High</t>
        </is>
      </c>
      <c r="O104" s="20" t="inlineStr">
        <is>
          <t>Desktop</t>
        </is>
      </c>
      <c r="P104" s="20" t="inlineStr">
        <is>
          <t>Dev Patel</t>
        </is>
      </c>
      <c r="Q104" s="20" t="n">
        <v>6</v>
      </c>
      <c r="R104" s="20" t="n">
        <v>3</v>
      </c>
      <c r="S104" s="20" t="inlineStr"/>
      <c r="T104" s="20" t="inlineStr">
        <is>
          <t>(Electron app)</t>
        </is>
      </c>
      <c r="U104" s="20">
        <f>IFERROR(Environments!$B$3&amp;T104,T104)</f>
        <v/>
      </c>
      <c r="V104" s="20" t="inlineStr">
        <is>
          <t>Open (Electron app). Exercise 'Electron overlay shell' (Always-on-top overlay). Confirm happy path for intended role; note plan gates and credit toasts.</t>
        </is>
      </c>
      <c r="W104" s="20" t="inlineStr">
        <is>
          <t>Free+</t>
        </is>
      </c>
      <c r="X104" s="20" t="inlineStr">
        <is>
          <t>0 / N/A</t>
        </is>
      </c>
      <c r="Y104" s="20" t="inlineStr"/>
    </row>
    <row r="105">
      <c r="A105" s="19" t="inlineStr">
        <is>
          <t>FEAT-103</t>
        </is>
      </c>
      <c r="B105" s="19" t="inlineStr">
        <is>
          <t>Electron Desktop Overlay</t>
        </is>
      </c>
      <c r="C105" s="19" t="inlineStr">
        <is>
          <t>Overlay hotkeys native</t>
        </is>
      </c>
      <c r="D105" s="19" t="inlineStr">
        <is>
          <t>Global shortcuts</t>
        </is>
      </c>
      <c r="E105" s="19" t="inlineStr">
        <is>
          <t>Yes</t>
        </is>
      </c>
      <c r="F105" s="19" t="inlineStr">
        <is>
          <t>N/A</t>
        </is>
      </c>
      <c r="G105" s="19" t="inlineStr">
        <is>
          <t>N/A</t>
        </is>
      </c>
      <c r="H105" s="19" t="inlineStr">
        <is>
          <t>N/A</t>
        </is>
      </c>
      <c r="I105" s="19" t="inlineStr">
        <is>
          <t>N/A</t>
        </is>
      </c>
      <c r="J105" s="19" t="inlineStr">
        <is>
          <t>Completed</t>
        </is>
      </c>
      <c r="K105" s="19" t="inlineStr">
        <is>
          <t>Fully Implemented</t>
        </is>
      </c>
      <c r="L105" s="19" t="inlineStr">
        <is>
          <t>Passed</t>
        </is>
      </c>
      <c r="M105" s="19" t="inlineStr">
        <is>
          <t>High</t>
        </is>
      </c>
      <c r="N105" s="19" t="inlineStr">
        <is>
          <t>Medium</t>
        </is>
      </c>
      <c r="O105" s="19" t="inlineStr">
        <is>
          <t>Desktop</t>
        </is>
      </c>
      <c r="P105" s="19" t="inlineStr">
        <is>
          <t>Dev Patel</t>
        </is>
      </c>
      <c r="Q105" s="19" t="n">
        <v>2</v>
      </c>
      <c r="R105" s="19" t="n">
        <v>1.5</v>
      </c>
      <c r="S105" s="19" t="inlineStr">
        <is>
          <t>No Ctrl+Shift+C dup</t>
        </is>
      </c>
      <c r="T105" s="19" t="inlineStr">
        <is>
          <t>(Electron app)</t>
        </is>
      </c>
      <c r="U105" s="19">
        <f>IFERROR(Environments!$B$3&amp;T105,T105)</f>
        <v/>
      </c>
      <c r="V105" s="19" t="inlineStr">
        <is>
          <t>Open (Electron app). Exercise 'Overlay hotkeys native' (Global shortcuts). Confirm happy path for intended role; note plan gates and credit toasts.</t>
        </is>
      </c>
      <c r="W105" s="19" t="inlineStr">
        <is>
          <t>Free+</t>
        </is>
      </c>
      <c r="X105" s="19" t="inlineStr">
        <is>
          <t>0 / N/A</t>
        </is>
      </c>
      <c r="Y105" s="19" t="inlineStr"/>
    </row>
    <row r="106">
      <c r="A106" s="20" t="inlineStr">
        <is>
          <t>FEAT-104</t>
        </is>
      </c>
      <c r="B106" s="20" t="inlineStr">
        <is>
          <t>Electron Desktop Overlay</t>
        </is>
      </c>
      <c r="C106" s="20" t="inlineStr">
        <is>
          <t>Window min size clamp</t>
        </is>
      </c>
      <c r="D106" s="20" t="inlineStr">
        <is>
          <t>360x320</t>
        </is>
      </c>
      <c r="E106" s="20" t="inlineStr">
        <is>
          <t>Yes</t>
        </is>
      </c>
      <c r="F106" s="20" t="inlineStr">
        <is>
          <t>N/A</t>
        </is>
      </c>
      <c r="G106" s="20" t="inlineStr">
        <is>
          <t>N/A</t>
        </is>
      </c>
      <c r="H106" s="20" t="inlineStr">
        <is>
          <t>N/A</t>
        </is>
      </c>
      <c r="I106" s="20" t="inlineStr">
        <is>
          <t>N/A</t>
        </is>
      </c>
      <c r="J106" s="20" t="inlineStr">
        <is>
          <t>Completed</t>
        </is>
      </c>
      <c r="K106" s="20" t="inlineStr">
        <is>
          <t>Fully Implemented</t>
        </is>
      </c>
      <c r="L106" s="20" t="inlineStr">
        <is>
          <t>Passed</t>
        </is>
      </c>
      <c r="M106" s="20" t="inlineStr">
        <is>
          <t>Medium</t>
        </is>
      </c>
      <c r="N106" s="20" t="inlineStr">
        <is>
          <t>Low</t>
        </is>
      </c>
      <c r="O106" s="20" t="inlineStr">
        <is>
          <t>Desktop</t>
        </is>
      </c>
      <c r="P106" s="20" t="inlineStr">
        <is>
          <t>Dev Patel</t>
        </is>
      </c>
      <c r="Q106" s="20" t="n">
        <v>1</v>
      </c>
      <c r="R106" s="20" t="n">
        <v>0.5</v>
      </c>
      <c r="S106" s="20" t="inlineStr">
        <is>
          <t>P1-9</t>
        </is>
      </c>
      <c r="T106" s="20" t="inlineStr">
        <is>
          <t>(Electron app)</t>
        </is>
      </c>
      <c r="U106" s="20">
        <f>IFERROR(Environments!$B$3&amp;T106,T106)</f>
        <v/>
      </c>
      <c r="V106" s="20" t="inlineStr">
        <is>
          <t>Open (Electron app). Exercise 'Window min size clamp' (360x320). Confirm happy path for intended role; note plan gates and credit toasts.</t>
        </is>
      </c>
      <c r="W106" s="20" t="inlineStr">
        <is>
          <t>Free+</t>
        </is>
      </c>
      <c r="X106" s="20" t="inlineStr">
        <is>
          <t>0 / N/A</t>
        </is>
      </c>
      <c r="Y106" s="20" t="inlineStr"/>
    </row>
    <row r="107">
      <c r="A107" s="19" t="inlineStr">
        <is>
          <t>FEAT-105</t>
        </is>
      </c>
      <c r="B107" s="19" t="inlineStr">
        <is>
          <t>Electron Desktop Overlay</t>
        </is>
      </c>
      <c r="C107" s="19" t="inlineStr">
        <is>
          <t>Auto-update</t>
        </is>
      </c>
      <c r="D107" s="19" t="inlineStr">
        <is>
          <t>electron-updater</t>
        </is>
      </c>
      <c r="E107" s="19" t="inlineStr">
        <is>
          <t>Yes</t>
        </is>
      </c>
      <c r="F107" s="19" t="inlineStr">
        <is>
          <t>N/A</t>
        </is>
      </c>
      <c r="G107" s="19" t="inlineStr">
        <is>
          <t>N/A</t>
        </is>
      </c>
      <c r="H107" s="19" t="inlineStr">
        <is>
          <t>N/A</t>
        </is>
      </c>
      <c r="I107" s="19" t="inlineStr">
        <is>
          <t>N/A</t>
        </is>
      </c>
      <c r="J107" s="19" t="inlineStr">
        <is>
          <t>In Progress</t>
        </is>
      </c>
      <c r="K107" s="19" t="inlineStr">
        <is>
          <t>Partial</t>
        </is>
      </c>
      <c r="L107" s="19" t="inlineStr">
        <is>
          <t>Blocked</t>
        </is>
      </c>
      <c r="M107" s="19" t="inlineStr">
        <is>
          <t>High</t>
        </is>
      </c>
      <c r="N107" s="19" t="inlineStr">
        <is>
          <t>High</t>
        </is>
      </c>
      <c r="O107" s="19" t="inlineStr">
        <is>
          <t>Desktop</t>
        </is>
      </c>
      <c r="P107" s="19" t="inlineStr">
        <is>
          <t>Dev Patel</t>
        </is>
      </c>
      <c r="Q107" s="19" t="n">
        <v>3</v>
      </c>
      <c r="R107" s="19" t="n">
        <v>1</v>
      </c>
      <c r="S107" s="19" t="inlineStr">
        <is>
          <t>Unsigned</t>
        </is>
      </c>
      <c r="T107" s="19" t="inlineStr">
        <is>
          <t>(Electron app)</t>
        </is>
      </c>
      <c r="U107" s="19">
        <f>IFERROR(Environments!$B$3&amp;T107,T107)</f>
        <v/>
      </c>
      <c r="V107" s="19" t="inlineStr">
        <is>
          <t>Open (Electron app). Exercise 'Auto-update' (electron-updater). Confirm happy path for intended role; note plan gates and credit toasts.</t>
        </is>
      </c>
      <c r="W107" s="19" t="inlineStr">
        <is>
          <t>Free+</t>
        </is>
      </c>
      <c r="X107" s="19" t="inlineStr">
        <is>
          <t>0 / N/A</t>
        </is>
      </c>
      <c r="Y107" s="19" t="inlineStr">
        <is>
          <t>BUG-OPEN-18, BUG-OPEN-19</t>
        </is>
      </c>
    </row>
    <row r="108">
      <c r="A108" s="20" t="inlineStr">
        <is>
          <t>FEAT-106</t>
        </is>
      </c>
      <c r="B108" s="20" t="inlineStr">
        <is>
          <t>Electron Desktop Overlay</t>
        </is>
      </c>
      <c r="C108" s="20" t="inlineStr">
        <is>
          <t>Code signing Windows</t>
        </is>
      </c>
      <c r="D108" s="20" t="inlineStr">
        <is>
          <t>EV/OV cert</t>
        </is>
      </c>
      <c r="E108" s="20" t="inlineStr">
        <is>
          <t>N/A</t>
        </is>
      </c>
      <c r="F108" s="20" t="inlineStr">
        <is>
          <t>N/A</t>
        </is>
      </c>
      <c r="G108" s="20" t="inlineStr">
        <is>
          <t>N/A</t>
        </is>
      </c>
      <c r="H108" s="20" t="inlineStr">
        <is>
          <t>N/A</t>
        </is>
      </c>
      <c r="I108" s="20" t="inlineStr">
        <is>
          <t>N/A</t>
        </is>
      </c>
      <c r="J108" s="20" t="inlineStr">
        <is>
          <t>Not Started</t>
        </is>
      </c>
      <c r="K108" s="20" t="inlineStr">
        <is>
          <t>Not Built</t>
        </is>
      </c>
      <c r="L108" s="20" t="inlineStr">
        <is>
          <t>Not Tested</t>
        </is>
      </c>
      <c r="M108" s="20" t="inlineStr">
        <is>
          <t>High</t>
        </is>
      </c>
      <c r="N108" s="20" t="inlineStr">
        <is>
          <t>High</t>
        </is>
      </c>
      <c r="O108" s="20" t="inlineStr">
        <is>
          <t>Desktop</t>
        </is>
      </c>
      <c r="P108" s="20" t="inlineStr">
        <is>
          <t>Dev Patel</t>
        </is>
      </c>
      <c r="Q108" s="20" t="n">
        <v>8</v>
      </c>
      <c r="R108" s="20" t="n">
        <v>0</v>
      </c>
      <c r="S108" s="20" t="inlineStr">
        <is>
          <t>P4-6 deferred</t>
        </is>
      </c>
      <c r="T108" s="20" t="inlineStr">
        <is>
          <t>(Electron app)</t>
        </is>
      </c>
      <c r="U108" s="20">
        <f>IFERROR(Environments!$B$3&amp;T108,T108)</f>
        <v/>
      </c>
      <c r="V108" s="20" t="inlineStr">
        <is>
          <t>Open (Electron app). Exercise 'Code signing Windows' (EV/OV cert). Confirm happy path for intended role; note plan gates and credit toasts.</t>
        </is>
      </c>
      <c r="W108" s="20" t="inlineStr">
        <is>
          <t>Free+</t>
        </is>
      </c>
      <c r="X108" s="20" t="inlineStr">
        <is>
          <t>0 / N/A</t>
        </is>
      </c>
      <c r="Y108" s="20" t="inlineStr"/>
    </row>
    <row r="109">
      <c r="A109" s="19" t="inlineStr">
        <is>
          <t>FEAT-107</t>
        </is>
      </c>
      <c r="B109" s="19" t="inlineStr">
        <is>
          <t>Security &amp; Platform</t>
        </is>
      </c>
      <c r="C109" s="19" t="inlineStr">
        <is>
          <t>RLS + edge shared libs</t>
        </is>
      </c>
      <c r="D109" s="19" t="inlineStr">
        <is>
          <t>Platform security</t>
        </is>
      </c>
      <c r="E109" s="19" t="inlineStr">
        <is>
          <t>N/A</t>
        </is>
      </c>
      <c r="F109" s="19" t="inlineStr">
        <is>
          <t>Yes</t>
        </is>
      </c>
      <c r="G109" s="19" t="inlineStr">
        <is>
          <t>Yes</t>
        </is>
      </c>
      <c r="H109" s="19" t="inlineStr">
        <is>
          <t>Yes</t>
        </is>
      </c>
      <c r="I109" s="19" t="inlineStr">
        <is>
          <t>Yes</t>
        </is>
      </c>
      <c r="J109" s="19" t="inlineStr">
        <is>
          <t>In Progress</t>
        </is>
      </c>
      <c r="K109" s="19" t="inlineStr">
        <is>
          <t>Partial</t>
        </is>
      </c>
      <c r="L109" s="19" t="inlineStr">
        <is>
          <t>In Testing</t>
        </is>
      </c>
      <c r="M109" s="19" t="inlineStr">
        <is>
          <t>Critical</t>
        </is>
      </c>
      <c r="N109" s="19" t="inlineStr">
        <is>
          <t>Critical</t>
        </is>
      </c>
      <c r="O109" s="19" t="inlineStr">
        <is>
          <t>Platform</t>
        </is>
      </c>
      <c r="P109" s="19" t="inlineStr">
        <is>
          <t>Dev Patel</t>
        </is>
      </c>
      <c r="Q109" s="19" t="n">
        <v>8</v>
      </c>
      <c r="R109" s="19" t="n">
        <v>4</v>
      </c>
      <c r="S109" s="19" t="inlineStr">
        <is>
          <t>Baseline recovery partial</t>
        </is>
      </c>
      <c r="T109" s="19" t="inlineStr">
        <is>
          <t>N/A</t>
        </is>
      </c>
      <c r="U109" s="19">
        <f>IFERROR(Environments!$B$3&amp;T109,T109)</f>
        <v/>
      </c>
      <c r="V109" s="19" t="inlineStr">
        <is>
          <t>Open N/A. Exercise 'RLS + edge shared libs' (Platform security). Confirm happy path for intended role; note plan gates and credit toasts.</t>
        </is>
      </c>
      <c r="W109" s="19" t="inlineStr">
        <is>
          <t>Free+</t>
        </is>
      </c>
      <c r="X109" s="19" t="inlineStr">
        <is>
          <t>0 / N/A</t>
        </is>
      </c>
      <c r="Y109" s="19" t="inlineStr"/>
    </row>
    <row r="110">
      <c r="A110" s="20" t="inlineStr">
        <is>
          <t>FEAT-108</t>
        </is>
      </c>
      <c r="B110" s="20" t="inlineStr">
        <is>
          <t>Security &amp; Platform</t>
        </is>
      </c>
      <c r="C110" s="20" t="inlineStr">
        <is>
          <t>Distributed rate limits</t>
        </is>
      </c>
      <c r="D110" s="20" t="inlineStr">
        <is>
          <t>check_rate_limit</t>
        </is>
      </c>
      <c r="E110" s="20" t="inlineStr">
        <is>
          <t>N/A</t>
        </is>
      </c>
      <c r="F110" s="20" t="inlineStr">
        <is>
          <t>Yes</t>
        </is>
      </c>
      <c r="G110" s="20" t="inlineStr">
        <is>
          <t>Yes</t>
        </is>
      </c>
      <c r="H110" s="20" t="inlineStr">
        <is>
          <t>Yes</t>
        </is>
      </c>
      <c r="I110" s="20" t="inlineStr">
        <is>
          <t>Yes</t>
        </is>
      </c>
      <c r="J110" s="20" t="inlineStr">
        <is>
          <t>Completed</t>
        </is>
      </c>
      <c r="K110" s="20" t="inlineStr">
        <is>
          <t>Fully Implemented</t>
        </is>
      </c>
      <c r="L110" s="20" t="inlineStr">
        <is>
          <t>In Testing</t>
        </is>
      </c>
      <c r="M110" s="20" t="inlineStr">
        <is>
          <t>Critical</t>
        </is>
      </c>
      <c r="N110" s="20" t="inlineStr">
        <is>
          <t>High</t>
        </is>
      </c>
      <c r="O110" s="20" t="inlineStr">
        <is>
          <t>Platform</t>
        </is>
      </c>
      <c r="P110" s="20" t="inlineStr">
        <is>
          <t>Dev Patel</t>
        </is>
      </c>
      <c r="Q110" s="20" t="n">
        <v>4</v>
      </c>
      <c r="R110" s="20" t="n">
        <v>2</v>
      </c>
      <c r="S110" s="20" t="inlineStr">
        <is>
          <t>P4-1</t>
        </is>
      </c>
      <c r="T110" s="20" t="inlineStr">
        <is>
          <t>N/A</t>
        </is>
      </c>
      <c r="U110" s="20">
        <f>IFERROR(Environments!$B$3&amp;T110,T110)</f>
        <v/>
      </c>
      <c r="V110" s="20" t="inlineStr">
        <is>
          <t>Open N/A. Exercise 'Distributed rate limits' (check_rate_limit). Confirm happy path for intended role; note plan gates and credit toasts.</t>
        </is>
      </c>
      <c r="W110" s="20" t="inlineStr">
        <is>
          <t>Free+</t>
        </is>
      </c>
      <c r="X110" s="20" t="inlineStr">
        <is>
          <t>0 / N/A</t>
        </is>
      </c>
      <c r="Y110" s="20" t="inlineStr"/>
    </row>
    <row r="111">
      <c r="A111" s="19" t="inlineStr">
        <is>
          <t>FEAT-109</t>
        </is>
      </c>
      <c r="B111" s="19" t="inlineStr">
        <is>
          <t>Security &amp; Platform</t>
        </is>
      </c>
      <c r="C111" s="19" t="inlineStr">
        <is>
          <t>Edge Sentry reporting</t>
        </is>
      </c>
      <c r="D111" s="19" t="inlineStr">
        <is>
          <t>reportEdgeError</t>
        </is>
      </c>
      <c r="E111" s="19" t="inlineStr">
        <is>
          <t>N/A</t>
        </is>
      </c>
      <c r="F111" s="19" t="inlineStr">
        <is>
          <t>Yes</t>
        </is>
      </c>
      <c r="G111" s="19" t="inlineStr">
        <is>
          <t>N/A</t>
        </is>
      </c>
      <c r="H111" s="19" t="inlineStr">
        <is>
          <t>N/A</t>
        </is>
      </c>
      <c r="I111" s="19" t="inlineStr">
        <is>
          <t>Yes</t>
        </is>
      </c>
      <c r="J111" s="19" t="inlineStr">
        <is>
          <t>Completed</t>
        </is>
      </c>
      <c r="K111" s="19" t="inlineStr">
        <is>
          <t>Fully Implemented</t>
        </is>
      </c>
      <c r="L111" s="19" t="inlineStr">
        <is>
          <t>In Testing</t>
        </is>
      </c>
      <c r="M111" s="19" t="inlineStr">
        <is>
          <t>High</t>
        </is>
      </c>
      <c r="N111" s="19" t="inlineStr">
        <is>
          <t>Medium</t>
        </is>
      </c>
      <c r="O111" s="19" t="inlineStr">
        <is>
          <t>Platform</t>
        </is>
      </c>
      <c r="P111" s="19" t="inlineStr">
        <is>
          <t>Dev Patel</t>
        </is>
      </c>
      <c r="Q111" s="19" t="n">
        <v>2</v>
      </c>
      <c r="R111" s="19" t="n">
        <v>1</v>
      </c>
      <c r="S111" s="19" t="inlineStr">
        <is>
          <t>Optional DSN</t>
        </is>
      </c>
      <c r="T111" s="19" t="inlineStr">
        <is>
          <t>N/A</t>
        </is>
      </c>
      <c r="U111" s="19">
        <f>IFERROR(Environments!$B$3&amp;T111,T111)</f>
        <v/>
      </c>
      <c r="V111" s="19" t="inlineStr">
        <is>
          <t>Open N/A. Exercise 'Edge Sentry reporting' (reportEdgeError). Confirm happy path for intended role; note plan gates and credit toasts.</t>
        </is>
      </c>
      <c r="W111" s="19" t="inlineStr">
        <is>
          <t>Free+</t>
        </is>
      </c>
      <c r="X111" s="19" t="inlineStr">
        <is>
          <t>0 / N/A</t>
        </is>
      </c>
      <c r="Y111" s="19" t="inlineStr"/>
    </row>
    <row r="112">
      <c r="A112" s="20" t="inlineStr">
        <is>
          <t>FEAT-110</t>
        </is>
      </c>
      <c r="B112" s="20" t="inlineStr">
        <is>
          <t>Security &amp; Platform</t>
        </is>
      </c>
      <c r="C112" s="20" t="inlineStr">
        <is>
          <t>Session force sign-out</t>
        </is>
      </c>
      <c r="D112" s="20" t="inlineStr">
        <is>
          <t>Timeout at T=0</t>
        </is>
      </c>
      <c r="E112" s="20" t="inlineStr">
        <is>
          <t>Yes</t>
        </is>
      </c>
      <c r="F112" s="20" t="inlineStr">
        <is>
          <t>Yes</t>
        </is>
      </c>
      <c r="G112" s="20" t="inlineStr">
        <is>
          <t>N/A</t>
        </is>
      </c>
      <c r="H112" s="20" t="inlineStr">
        <is>
          <t>N/A</t>
        </is>
      </c>
      <c r="I112" s="20" t="inlineStr">
        <is>
          <t>N/A</t>
        </is>
      </c>
      <c r="J112" s="20" t="inlineStr">
        <is>
          <t>Completed</t>
        </is>
      </c>
      <c r="K112" s="20" t="inlineStr">
        <is>
          <t>Fully Implemented</t>
        </is>
      </c>
      <c r="L112" s="20" t="inlineStr">
        <is>
          <t>Passed</t>
        </is>
      </c>
      <c r="M112" s="20" t="inlineStr">
        <is>
          <t>High</t>
        </is>
      </c>
      <c r="N112" s="20" t="inlineStr">
        <is>
          <t>Medium</t>
        </is>
      </c>
      <c r="O112" s="20" t="inlineStr">
        <is>
          <t>Platform</t>
        </is>
      </c>
      <c r="P112" s="20" t="inlineStr">
        <is>
          <t>Asha Sharma</t>
        </is>
      </c>
      <c r="Q112" s="20" t="n">
        <v>1.5</v>
      </c>
      <c r="R112" s="20" t="n">
        <v>1</v>
      </c>
      <c r="S112" s="20" t="inlineStr">
        <is>
          <t>P4-7</t>
        </is>
      </c>
      <c r="T112" s="20" t="inlineStr">
        <is>
          <t>N/A</t>
        </is>
      </c>
      <c r="U112" s="20">
        <f>IFERROR(Environments!$B$3&amp;T112,T112)</f>
        <v/>
      </c>
      <c r="V112" s="20" t="inlineStr">
        <is>
          <t>Open N/A. Exercise 'Session force sign-out' (Timeout at T=0). Confirm happy path for intended role; note plan gates and credit toasts.</t>
        </is>
      </c>
      <c r="W112" s="20" t="inlineStr">
        <is>
          <t>Free+</t>
        </is>
      </c>
      <c r="X112" s="20" t="inlineStr">
        <is>
          <t>0 / N/A</t>
        </is>
      </c>
      <c r="Y112" s="20" t="inlineStr"/>
    </row>
    <row r="113">
      <c r="A113" s="19" t="inlineStr">
        <is>
          <t>FEAT-111</t>
        </is>
      </c>
      <c r="B113" s="19" t="inlineStr">
        <is>
          <t>Security &amp; Platform</t>
        </is>
      </c>
      <c r="C113" s="19" t="inlineStr">
        <is>
          <t>CI validate-env</t>
        </is>
      </c>
      <c r="D113" s="19" t="inlineStr">
        <is>
          <t>CI placeholders</t>
        </is>
      </c>
      <c r="E113" s="19" t="inlineStr">
        <is>
          <t>N/A</t>
        </is>
      </c>
      <c r="F113" s="19" t="inlineStr">
        <is>
          <t>N/A</t>
        </is>
      </c>
      <c r="G113" s="19" t="inlineStr">
        <is>
          <t>N/A</t>
        </is>
      </c>
      <c r="H113" s="19" t="inlineStr">
        <is>
          <t>N/A</t>
        </is>
      </c>
      <c r="I113" s="19" t="inlineStr">
        <is>
          <t>N/A</t>
        </is>
      </c>
      <c r="J113" s="19" t="inlineStr">
        <is>
          <t>Completed</t>
        </is>
      </c>
      <c r="K113" s="19" t="inlineStr">
        <is>
          <t>Fully Implemented</t>
        </is>
      </c>
      <c r="L113" s="19" t="inlineStr">
        <is>
          <t>Passed</t>
        </is>
      </c>
      <c r="M113" s="19" t="inlineStr">
        <is>
          <t>High</t>
        </is>
      </c>
      <c r="N113" s="19" t="inlineStr">
        <is>
          <t>Medium</t>
        </is>
      </c>
      <c r="O113" s="19" t="inlineStr">
        <is>
          <t>Platform</t>
        </is>
      </c>
      <c r="P113" s="19" t="inlineStr">
        <is>
          <t>Dev Patel</t>
        </is>
      </c>
      <c r="Q113" s="19" t="n">
        <v>1</v>
      </c>
      <c r="R113" s="19" t="n">
        <v>0.5</v>
      </c>
      <c r="S113" s="19" t="inlineStr">
        <is>
          <t>P1-8</t>
        </is>
      </c>
      <c r="T113" s="19" t="inlineStr">
        <is>
          <t>N/A</t>
        </is>
      </c>
      <c r="U113" s="19">
        <f>IFERROR(Environments!$B$3&amp;T113,T113)</f>
        <v/>
      </c>
      <c r="V113" s="19" t="inlineStr">
        <is>
          <t>Open N/A. Exercise 'CI validate-env' (CI placeholders). Confirm happy path for intended role; note plan gates and credit toasts.</t>
        </is>
      </c>
      <c r="W113" s="19" t="inlineStr">
        <is>
          <t>Free+</t>
        </is>
      </c>
      <c r="X113" s="19" t="inlineStr">
        <is>
          <t>0 / N/A</t>
        </is>
      </c>
      <c r="Y113" s="19" t="inlineStr"/>
    </row>
    <row r="114">
      <c r="A114" s="20" t="inlineStr">
        <is>
          <t>FEAT-112</t>
        </is>
      </c>
      <c r="B114" s="20" t="inlineStr">
        <is>
          <t>Security &amp; Platform</t>
        </is>
      </c>
      <c r="C114" s="20" t="inlineStr">
        <is>
          <t>Unit/E2E coverage</t>
        </is>
      </c>
      <c r="D114" s="20" t="inlineStr">
        <is>
          <t>Vitest + Playwright</t>
        </is>
      </c>
      <c r="E114" s="20" t="inlineStr">
        <is>
          <t>Yes</t>
        </is>
      </c>
      <c r="F114" s="20" t="inlineStr">
        <is>
          <t>Yes</t>
        </is>
      </c>
      <c r="G114" s="20" t="inlineStr">
        <is>
          <t>N/A</t>
        </is>
      </c>
      <c r="H114" s="20" t="inlineStr">
        <is>
          <t>N/A</t>
        </is>
      </c>
      <c r="I114" s="20" t="inlineStr">
        <is>
          <t>N/A</t>
        </is>
      </c>
      <c r="J114" s="20" t="inlineStr">
        <is>
          <t>In Progress</t>
        </is>
      </c>
      <c r="K114" s="20" t="inlineStr">
        <is>
          <t>Partial</t>
        </is>
      </c>
      <c r="L114" s="20" t="inlineStr">
        <is>
          <t>Failed</t>
        </is>
      </c>
      <c r="M114" s="20" t="inlineStr">
        <is>
          <t>High</t>
        </is>
      </c>
      <c r="N114" s="20" t="inlineStr">
        <is>
          <t>High</t>
        </is>
      </c>
      <c r="O114" s="20" t="inlineStr">
        <is>
          <t>Platform</t>
        </is>
      </c>
      <c r="P114" s="20" t="inlineStr">
        <is>
          <t>Dev Patel</t>
        </is>
      </c>
      <c r="Q114" s="20" t="n">
        <v>40</v>
      </c>
      <c r="R114" s="20" t="n">
        <v>8</v>
      </c>
      <c r="S114" s="20" t="inlineStr">
        <is>
          <t>Low coverage; 794 todos</t>
        </is>
      </c>
      <c r="T114" s="20" t="inlineStr">
        <is>
          <t>N/A</t>
        </is>
      </c>
      <c r="U114" s="20">
        <f>IFERROR(Environments!$B$3&amp;T114,T114)</f>
        <v/>
      </c>
      <c r="V114" s="20" t="inlineStr">
        <is>
          <t>Open N/A. Exercise 'Unit/E2E coverage' (Vitest + Playwright). Confirm happy path for intended role; note plan gates and credit toasts.</t>
        </is>
      </c>
      <c r="W114" s="20" t="inlineStr">
        <is>
          <t>Free+</t>
        </is>
      </c>
      <c r="X114" s="20" t="inlineStr">
        <is>
          <t>0 / N/A</t>
        </is>
      </c>
      <c r="Y114" s="20" t="inlineStr"/>
    </row>
    <row r="115">
      <c r="A115" s="19" t="inlineStr">
        <is>
          <t>FEAT-113</t>
        </is>
      </c>
      <c r="B115" s="19" t="inlineStr">
        <is>
          <t>Security &amp; Platform</t>
        </is>
      </c>
      <c r="C115" s="19" t="inlineStr">
        <is>
          <t>Observability Sentry/PostHog</t>
        </is>
      </c>
      <c r="D115" s="19" t="inlineStr">
        <is>
          <t>Web client only</t>
        </is>
      </c>
      <c r="E115" s="19" t="inlineStr">
        <is>
          <t>Yes</t>
        </is>
      </c>
      <c r="F115" s="19" t="inlineStr">
        <is>
          <t>Partial</t>
        </is>
      </c>
      <c r="G115" s="19" t="inlineStr">
        <is>
          <t>N/A</t>
        </is>
      </c>
      <c r="H115" s="19" t="inlineStr">
        <is>
          <t>N/A</t>
        </is>
      </c>
      <c r="I115" s="19" t="inlineStr">
        <is>
          <t>Partial</t>
        </is>
      </c>
      <c r="J115" s="19" t="inlineStr">
        <is>
          <t>In Progress</t>
        </is>
      </c>
      <c r="K115" s="19" t="inlineStr">
        <is>
          <t>Partial</t>
        </is>
      </c>
      <c r="L115" s="19" t="inlineStr">
        <is>
          <t>In Testing</t>
        </is>
      </c>
      <c r="M115" s="19" t="inlineStr">
        <is>
          <t>High</t>
        </is>
      </c>
      <c r="N115" s="19" t="inlineStr">
        <is>
          <t>Medium</t>
        </is>
      </c>
      <c r="O115" s="19" t="inlineStr">
        <is>
          <t>Platform</t>
        </is>
      </c>
      <c r="P115" s="19" t="inlineStr">
        <is>
          <t>Dev Patel</t>
        </is>
      </c>
      <c r="Q115" s="19" t="n">
        <v>3</v>
      </c>
      <c r="R115" s="19" t="n">
        <v>1.5</v>
      </c>
      <c r="S115" s="19" t="inlineStr"/>
      <c r="T115" s="19" t="inlineStr">
        <is>
          <t>N/A</t>
        </is>
      </c>
      <c r="U115" s="19">
        <f>IFERROR(Environments!$B$3&amp;T115,T115)</f>
        <v/>
      </c>
      <c r="V115" s="19" t="inlineStr">
        <is>
          <t>Open N/A. Exercise 'Observability Sentry/PostHog' (Web client only). Confirm happy path for intended role; note plan gates and credit toasts.</t>
        </is>
      </c>
      <c r="W115" s="19" t="inlineStr">
        <is>
          <t>Free+</t>
        </is>
      </c>
      <c r="X115" s="19" t="inlineStr">
        <is>
          <t>0 / N/A</t>
        </is>
      </c>
      <c r="Y115" s="19" t="inlineStr"/>
    </row>
    <row r="116">
      <c r="A116" s="20" t="inlineStr">
        <is>
          <t>FEAT-114</t>
        </is>
      </c>
      <c r="B116" s="20" t="inlineStr">
        <is>
          <t>Security &amp; Platform</t>
        </is>
      </c>
      <c r="C116" s="20" t="inlineStr">
        <is>
          <t>Group practice WebRTC</t>
        </is>
      </c>
      <c r="D116" s="20" t="inlineStr">
        <is>
          <t>Rooms</t>
        </is>
      </c>
      <c r="E116" s="20" t="inlineStr">
        <is>
          <t>No</t>
        </is>
      </c>
      <c r="F116" s="20" t="inlineStr">
        <is>
          <t>No</t>
        </is>
      </c>
      <c r="G116" s="20" t="inlineStr">
        <is>
          <t>Partial</t>
        </is>
      </c>
      <c r="H116" s="20" t="inlineStr">
        <is>
          <t>No</t>
        </is>
      </c>
      <c r="I116" s="20" t="inlineStr">
        <is>
          <t>No</t>
        </is>
      </c>
      <c r="J116" s="20" t="inlineStr">
        <is>
          <t>Not Started</t>
        </is>
      </c>
      <c r="K116" s="20" t="inlineStr">
        <is>
          <t>Not Built</t>
        </is>
      </c>
      <c r="L116" s="20" t="inlineStr">
        <is>
          <t>Not Tested</t>
        </is>
      </c>
      <c r="M116" s="20" t="inlineStr">
        <is>
          <t>Low</t>
        </is>
      </c>
      <c r="N116" s="20" t="inlineStr">
        <is>
          <t>Low</t>
        </is>
      </c>
      <c r="O116" s="20" t="inlineStr">
        <is>
          <t>Platform</t>
        </is>
      </c>
      <c r="P116" s="20" t="inlineStr">
        <is>
          <t>Kavya Iyer</t>
        </is>
      </c>
      <c r="Q116" s="20" t="n">
        <v>20</v>
      </c>
      <c r="R116" s="20" t="n">
        <v>0</v>
      </c>
      <c r="S116" s="20" t="inlineStr">
        <is>
          <t>Descope</t>
        </is>
      </c>
      <c r="T116" s="20" t="inlineStr">
        <is>
          <t>N/A</t>
        </is>
      </c>
      <c r="U116" s="20">
        <f>IFERROR(Environments!$B$3&amp;T116,T116)</f>
        <v/>
      </c>
      <c r="V116" s="20" t="inlineStr">
        <is>
          <t>Open N/A. Exercise 'Group practice WebRTC' (Rooms). Confirm happy path for intended role; note plan gates and credit toasts.</t>
        </is>
      </c>
      <c r="W116" s="20" t="inlineStr">
        <is>
          <t>Free+</t>
        </is>
      </c>
      <c r="X116" s="20" t="inlineStr">
        <is>
          <t>0 / N/A</t>
        </is>
      </c>
      <c r="Y116" s="20" t="inlineStr"/>
    </row>
    <row r="117">
      <c r="A117" s="21" t="inlineStr">
        <is>
          <t>TOTAL</t>
        </is>
      </c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21">
        <f>SUM(Q3:Q116)</f>
        <v/>
      </c>
      <c r="R117" s="21">
        <f>SUM(R3:R116)</f>
        <v/>
      </c>
      <c r="S117" s="19" t="n"/>
      <c r="T117" s="19" t="n"/>
      <c r="U117" s="19" t="n"/>
      <c r="V117" s="19" t="n"/>
      <c r="W117" s="19" t="n"/>
      <c r="X117" s="19" t="n"/>
      <c r="Y117" s="19" t="n"/>
    </row>
  </sheetData>
  <autoFilter ref="A2:Y117"/>
  <mergeCells count="1">
    <mergeCell ref="A1:H1"/>
  </mergeCells>
  <conditionalFormatting sqref="J3:J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L3:L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M3:M500">
    <cfRule type="cellIs" priority="35" operator="equal" dxfId="0">
      <formula>"Critical"</formula>
    </cfRule>
    <cfRule type="cellIs" priority="36" operator="equal" dxfId="1">
      <formula>"High"</formula>
    </cfRule>
    <cfRule type="cellIs" priority="37" operator="equal" dxfId="2">
      <formula>"Medium"</formula>
    </cfRule>
    <cfRule type="cellIs" priority="38" operator="equal" dxfId="3">
      <formula>"Low"</formula>
    </cfRule>
  </conditionalFormatting>
  <conditionalFormatting sqref="N3:N500">
    <cfRule type="cellIs" priority="39" operator="equal" dxfId="0">
      <formula>"Critical"</formula>
    </cfRule>
    <cfRule type="cellIs" priority="40" operator="equal" dxfId="1">
      <formula>"High"</formula>
    </cfRule>
    <cfRule type="cellIs" priority="41" operator="equal" dxfId="2">
      <formula>"Medium"</formula>
    </cfRule>
    <cfRule type="cellIs" priority="42" operator="equal" dxfId="3">
      <formula>"Low"</formula>
    </cfRule>
  </conditionalFormatting>
  <dataValidations count="13">
    <dataValidation sqref="B3:B5000" showDropDown="0" showInputMessage="0" showErrorMessage="0" allowBlank="1" errorTitle="Invalid" error="Pick a value from the list" type="list">
      <formula1>Lists!$Z$2:$Z$21</formula1>
    </dataValidation>
    <dataValidation sqref="E3:E5000" showDropDown="0" showInputMessage="0" showErrorMessage="0" allowBlank="1" errorTitle="Invalid" error="Pick a value from the list" type="list">
      <formula1>Lists!$AF$2:$AF$5</formula1>
    </dataValidation>
    <dataValidation sqref="F3:F5000" showDropDown="0" showInputMessage="0" showErrorMessage="0" allowBlank="1" errorTitle="Invalid" error="Pick a value from the list" type="list">
      <formula1>Lists!$AF$2:$AF$5</formula1>
    </dataValidation>
    <dataValidation sqref="G3:G5000" showDropDown="0" showInputMessage="0" showErrorMessage="0" allowBlank="1" errorTitle="Invalid" error="Pick a value from the list" type="list">
      <formula1>Lists!$AF$2:$AF$5</formula1>
    </dataValidation>
    <dataValidation sqref="H3:H5000" showDropDown="0" showInputMessage="0" showErrorMessage="0" allowBlank="1" errorTitle="Invalid" error="Pick a value from the list" type="list">
      <formula1>Lists!$AF$2:$AF$5</formula1>
    </dataValidation>
    <dataValidation sqref="I3:I5000" showDropDown="0" showInputMessage="0" showErrorMessage="0" allowBlank="1" errorTitle="Invalid" error="Pick a value from the list" type="list">
      <formula1>Lists!$AF$2:$AF$5</formula1>
    </dataValidation>
    <dataValidation sqref="J3:J5000" showDropDown="0" showInputMessage="0" showErrorMessage="0" allowBlank="1" errorTitle="Invalid" error="Pick a value from the list" type="list">
      <formula1>Lists!$A$2:$A$9</formula1>
    </dataValidation>
    <dataValidation sqref="K3:K5000" showDropDown="0" showInputMessage="0" showErrorMessage="0" allowBlank="1" errorTitle="Invalid" error="Pick a value from the list" type="list">
      <formula1>Lists!$AE$2:$AE$6</formula1>
    </dataValidation>
    <dataValidation sqref="L3:L5000" showDropDown="0" showInputMessage="0" showErrorMessage="0" allowBlank="1" errorTitle="Invalid" error="Pick a value from the list" type="list">
      <formula1>Lists!$J$2:$J$7</formula1>
    </dataValidation>
    <dataValidation sqref="M3:M5000" showDropDown="0" showInputMessage="0" showErrorMessage="0" allowBlank="1" errorTitle="Invalid" error="Pick a value from the list" type="list">
      <formula1>Lists!$C$2:$C$5</formula1>
    </dataValidation>
    <dataValidation sqref="N3:N5000" showDropDown="0" showInputMessage="0" showErrorMessage="0" allowBlank="1" errorTitle="Invalid" error="Pick a value from the list" type="list">
      <formula1>Lists!$L$2:$L$5</formula1>
    </dataValidation>
    <dataValidation sqref="O3:O5000" showDropDown="0" showInputMessage="0" showErrorMessage="0" allowBlank="1" errorTitle="Invalid" error="Pick a value from the list" type="list">
      <formula1>Lists!$AD$2:$AD$17</formula1>
    </dataValidation>
    <dataValidation sqref="P3:P5000" showDropDown="0" showInputMessage="0" showErrorMessage="0" allowBlank="1" errorTitle="Invalid" error="Pick a value from the list" type="list">
      <formula1>Lists!$AC$2:$AC$6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1" customWidth="1" min="3" max="3"/>
    <col width="12" customWidth="1" min="4" max="4"/>
    <col width="23" customWidth="1" min="5" max="5"/>
    <col width="28" customWidth="1" min="6" max="6"/>
    <col width="12" customWidth="1" min="7" max="7"/>
    <col width="12" customWidth="1" min="8" max="8"/>
    <col width="12" customWidth="1" min="9" max="9"/>
    <col width="22" customWidth="1" min="10" max="10"/>
    <col width="36" customWidth="1" min="11" max="11"/>
    <col width="28" customWidth="1" min="12" max="12"/>
    <col width="36" customWidth="1" min="13" max="13"/>
    <col width="32" customWidth="1" min="14" max="14"/>
    <col width="21" customWidth="1" min="15" max="15"/>
    <col width="13" customWidth="1" min="16" max="16"/>
    <col width="13" customWidth="1" min="17" max="17"/>
    <col width="12" customWidth="1" min="18" max="18"/>
    <col width="13" customWidth="1" min="19" max="19"/>
    <col width="14" customWidth="1" min="20" max="20"/>
    <col width="14" customWidth="1" min="21" max="21"/>
    <col width="16" customWidth="1" min="22" max="22"/>
    <col width="15" customWidth="1" min="23" max="23"/>
    <col width="13" customWidth="1" min="24" max="24"/>
    <col width="12" customWidth="1" min="25" max="25"/>
    <col width="15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9" customWidth="1" min="34" max="34"/>
  </cols>
  <sheetData>
    <row r="1">
      <c r="A1" s="1" t="inlineStr">
        <is>
          <t>Test Case Repository — Clarify AI</t>
        </is>
      </c>
    </row>
    <row r="2">
      <c r="A2" s="18" t="inlineStr">
        <is>
          <t>Test Case ID</t>
        </is>
      </c>
      <c r="B2" s="18" t="inlineStr">
        <is>
          <t>Requirement ID</t>
        </is>
      </c>
      <c r="C2" s="18" t="inlineStr">
        <is>
          <t>Module</t>
        </is>
      </c>
      <c r="D2" s="18" t="inlineStr">
        <is>
          <t>Sub Module</t>
        </is>
      </c>
      <c r="E2" s="18" t="inlineStr">
        <is>
          <t>Feature</t>
        </is>
      </c>
      <c r="F2" s="18" t="inlineStr">
        <is>
          <t>Screen</t>
        </is>
      </c>
      <c r="G2" s="18" t="inlineStr">
        <is>
          <t>User Role</t>
        </is>
      </c>
      <c r="H2" s="18" t="inlineStr">
        <is>
          <t>Priority</t>
        </is>
      </c>
      <c r="I2" s="18" t="inlineStr">
        <is>
          <t>Severity</t>
        </is>
      </c>
      <c r="J2" s="18" t="inlineStr">
        <is>
          <t>Test Scenario</t>
        </is>
      </c>
      <c r="K2" s="18" t="inlineStr">
        <is>
          <t>Test Case</t>
        </is>
      </c>
      <c r="L2" s="18" t="inlineStr">
        <is>
          <t>Preconditions</t>
        </is>
      </c>
      <c r="M2" s="18" t="inlineStr">
        <is>
          <t>Test Steps</t>
        </is>
      </c>
      <c r="N2" s="18" t="inlineStr">
        <is>
          <t>Expected Result</t>
        </is>
      </c>
      <c r="O2" s="18" t="inlineStr">
        <is>
          <t>Actual Result</t>
        </is>
      </c>
      <c r="P2" s="18" t="inlineStr">
        <is>
          <t>Pass/Fail</t>
        </is>
      </c>
      <c r="Q2" s="18" t="inlineStr">
        <is>
          <t>Status</t>
        </is>
      </c>
      <c r="R2" s="18" t="inlineStr">
        <is>
          <t>Bug ID</t>
        </is>
      </c>
      <c r="S2" s="18" t="inlineStr">
        <is>
          <t>Tester</t>
        </is>
      </c>
      <c r="T2" s="18" t="inlineStr">
        <is>
          <t>Est Hours</t>
        </is>
      </c>
      <c r="U2" s="18" t="inlineStr">
        <is>
          <t>Actual Hours</t>
        </is>
      </c>
      <c r="V2" s="18" t="inlineStr">
        <is>
          <t>Execution Date</t>
        </is>
      </c>
      <c r="W2" s="18" t="inlineStr">
        <is>
          <t>Build Version</t>
        </is>
      </c>
      <c r="X2" s="18" t="inlineStr">
        <is>
          <t>Environment</t>
        </is>
      </c>
      <c r="Y2" s="18" t="inlineStr">
        <is>
          <t>Browser</t>
        </is>
      </c>
      <c r="Z2" s="18" t="inlineStr">
        <is>
          <t>Device</t>
        </is>
      </c>
      <c r="AA2" s="18" t="inlineStr">
        <is>
          <t>Platform</t>
        </is>
      </c>
      <c r="AB2" s="18" t="inlineStr">
        <is>
          <t>Automation</t>
        </is>
      </c>
      <c r="AC2" s="18" t="inlineStr">
        <is>
          <t>Regression</t>
        </is>
      </c>
      <c r="AD2" s="18" t="inlineStr">
        <is>
          <t>Smoke</t>
        </is>
      </c>
      <c r="AE2" s="18" t="inlineStr">
        <is>
          <t>Sanity</t>
        </is>
      </c>
      <c r="AF2" s="18" t="inlineStr">
        <is>
          <t>Sprint</t>
        </is>
      </c>
      <c r="AG2" s="18" t="inlineStr">
        <is>
          <t>Release</t>
        </is>
      </c>
      <c r="AH2" s="18" t="inlineStr">
        <is>
          <t>Remarks</t>
        </is>
      </c>
    </row>
    <row r="3">
      <c r="A3" s="19" t="inlineStr">
        <is>
          <t>TC-001</t>
        </is>
      </c>
      <c r="B3" s="19" t="inlineStr">
        <is>
          <t>REQ-AUTH-01</t>
        </is>
      </c>
      <c r="C3" s="19" t="inlineStr">
        <is>
          <t>Auth &amp; Onboarding</t>
        </is>
      </c>
      <c r="D3" s="19" t="inlineStr">
        <is>
          <t>Login</t>
        </is>
      </c>
      <c r="E3" s="19" t="inlineStr">
        <is>
          <t>Email login</t>
        </is>
      </c>
      <c r="F3" s="19" t="inlineStr">
        <is>
          <t>/login</t>
        </is>
      </c>
      <c r="G3" s="19" t="inlineStr">
        <is>
          <t>Free User</t>
        </is>
      </c>
      <c r="H3" s="19" t="inlineStr">
        <is>
          <t>Critical</t>
        </is>
      </c>
      <c r="I3" s="19" t="inlineStr">
        <is>
          <t>Critical</t>
        </is>
      </c>
      <c r="J3" s="19" t="inlineStr">
        <is>
          <t>Valid credentials</t>
        </is>
      </c>
      <c r="K3" s="19" t="inlineStr">
        <is>
          <t>User signs in with email/password</t>
        </is>
      </c>
      <c r="L3" s="19" t="inlineStr">
        <is>
          <t>Verified account</t>
        </is>
      </c>
      <c r="M3" s="19" t="inlineStr">
        <is>
          <t>1. Open /login
2. Enter credentials
3. Submit</t>
        </is>
      </c>
      <c r="N3" s="19" t="inlineStr">
        <is>
          <t>Redirect to /app or onboarding</t>
        </is>
      </c>
      <c r="O3" s="19" t="inlineStr">
        <is>
          <t>Landed on dashboard</t>
        </is>
      </c>
      <c r="P3" s="19" t="inlineStr">
        <is>
          <t>Pass</t>
        </is>
      </c>
      <c r="Q3" s="19" t="inlineStr">
        <is>
          <t>Completed</t>
        </is>
      </c>
      <c r="R3" s="19" t="inlineStr"/>
      <c r="S3" s="19" t="inlineStr">
        <is>
          <t>Asha Sharma</t>
        </is>
      </c>
      <c r="T3" s="19" t="n">
        <v>1</v>
      </c>
      <c r="U3" s="19" t="n">
        <v>0.75</v>
      </c>
      <c r="V3" s="22" t="n">
        <v>46232</v>
      </c>
      <c r="W3" s="19" t="inlineStr">
        <is>
          <t>1.0.0</t>
        </is>
      </c>
      <c r="X3" s="19" t="inlineStr">
        <is>
          <t>Staging</t>
        </is>
      </c>
      <c r="Y3" s="19" t="inlineStr">
        <is>
          <t>Chrome</t>
        </is>
      </c>
      <c r="Z3" s="19" t="inlineStr">
        <is>
          <t>Desktop</t>
        </is>
      </c>
      <c r="AA3" s="19" t="inlineStr">
        <is>
          <t>Web</t>
        </is>
      </c>
      <c r="AB3" s="19" t="inlineStr">
        <is>
          <t>Manual</t>
        </is>
      </c>
      <c r="AC3" s="19" t="inlineStr">
        <is>
          <t>Yes</t>
        </is>
      </c>
      <c r="AD3" s="19" t="inlineStr">
        <is>
          <t>Yes</t>
        </is>
      </c>
      <c r="AE3" s="19" t="inlineStr">
        <is>
          <t>Yes</t>
        </is>
      </c>
      <c r="AF3" s="19" t="inlineStr">
        <is>
          <t>Sprint 26</t>
        </is>
      </c>
      <c r="AG3" s="19" t="inlineStr">
        <is>
          <t>1.0.0-beta</t>
        </is>
      </c>
      <c r="AH3" s="19" t="inlineStr"/>
    </row>
    <row r="4">
      <c r="A4" s="20" t="inlineStr">
        <is>
          <t>TC-002</t>
        </is>
      </c>
      <c r="B4" s="20" t="inlineStr">
        <is>
          <t>REQ-AUTH-02</t>
        </is>
      </c>
      <c r="C4" s="20" t="inlineStr">
        <is>
          <t>Auth &amp; Onboarding</t>
        </is>
      </c>
      <c r="D4" s="20" t="inlineStr">
        <is>
          <t>Login</t>
        </is>
      </c>
      <c r="E4" s="20" t="inlineStr">
        <is>
          <t>Lockout</t>
        </is>
      </c>
      <c r="F4" s="20" t="inlineStr">
        <is>
          <t>/login</t>
        </is>
      </c>
      <c r="G4" s="20" t="inlineStr">
        <is>
          <t>Free User</t>
        </is>
      </c>
      <c r="H4" s="20" t="inlineStr">
        <is>
          <t>High</t>
        </is>
      </c>
      <c r="I4" s="20" t="inlineStr">
        <is>
          <t>High</t>
        </is>
      </c>
      <c r="J4" s="20" t="inlineStr">
        <is>
          <t>Repeated failures</t>
        </is>
      </c>
      <c r="K4" s="20" t="inlineStr">
        <is>
          <t>Lockout after threshold</t>
        </is>
      </c>
      <c r="L4" s="20" t="inlineStr">
        <is>
          <t>Test account</t>
        </is>
      </c>
      <c r="M4" s="20" t="inlineStr">
        <is>
          <t>1. Fail login repeatedly
2. Observe message</t>
        </is>
      </c>
      <c r="N4" s="20" t="inlineStr">
        <is>
          <t>Temporary lockout shown</t>
        </is>
      </c>
      <c r="O4" s="20" t="inlineStr"/>
      <c r="P4" s="20" t="inlineStr">
        <is>
          <t>Not Run</t>
        </is>
      </c>
      <c r="Q4" s="20" t="inlineStr">
        <is>
          <t>Ready</t>
        </is>
      </c>
      <c r="R4" s="20" t="inlineStr"/>
      <c r="S4" s="20" t="inlineStr">
        <is>
          <t>Asha Sharma</t>
        </is>
      </c>
      <c r="T4" s="20" t="n">
        <v>1.5</v>
      </c>
      <c r="U4" s="20" t="n">
        <v>0</v>
      </c>
      <c r="V4" s="20" t="inlineStr"/>
      <c r="W4" s="20" t="inlineStr">
        <is>
          <t>1.0.0</t>
        </is>
      </c>
      <c r="X4" s="20" t="inlineStr">
        <is>
          <t>Staging</t>
        </is>
      </c>
      <c r="Y4" s="20" t="inlineStr">
        <is>
          <t>Chrome</t>
        </is>
      </c>
      <c r="Z4" s="20" t="inlineStr">
        <is>
          <t>Desktop</t>
        </is>
      </c>
      <c r="AA4" s="20" t="inlineStr">
        <is>
          <t>Web</t>
        </is>
      </c>
      <c r="AB4" s="20" t="inlineStr">
        <is>
          <t>Manual</t>
        </is>
      </c>
      <c r="AC4" s="20" t="inlineStr">
        <is>
          <t>Yes</t>
        </is>
      </c>
      <c r="AD4" s="20" t="inlineStr">
        <is>
          <t>No</t>
        </is>
      </c>
      <c r="AE4" s="20" t="inlineStr">
        <is>
          <t>Yes</t>
        </is>
      </c>
      <c r="AF4" s="20" t="inlineStr">
        <is>
          <t>Sprint 26</t>
        </is>
      </c>
      <c r="AG4" s="20" t="inlineStr">
        <is>
          <t>1.0.0-beta</t>
        </is>
      </c>
      <c r="AH4" s="20" t="inlineStr"/>
    </row>
    <row r="5">
      <c r="A5" s="19" t="inlineStr">
        <is>
          <t>TC-003</t>
        </is>
      </c>
      <c r="B5" s="19" t="inlineStr">
        <is>
          <t>REQ-LIVE-01</t>
        </is>
      </c>
      <c r="C5" s="19" t="inlineStr">
        <is>
          <t>Live Practice Coach</t>
        </is>
      </c>
      <c r="D5" s="19" t="inlineStr">
        <is>
          <t>STT</t>
        </is>
      </c>
      <c r="E5" s="19" t="inlineStr">
        <is>
          <t>Deepgram stream</t>
        </is>
      </c>
      <c r="F5" s="19" t="inlineStr">
        <is>
          <t>/app/live</t>
        </is>
      </c>
      <c r="G5" s="19" t="inlineStr">
        <is>
          <t>Pro User</t>
        </is>
      </c>
      <c r="H5" s="19" t="inlineStr">
        <is>
          <t>Critical</t>
        </is>
      </c>
      <c r="I5" s="19" t="inlineStr">
        <is>
          <t>Critical</t>
        </is>
      </c>
      <c r="J5" s="19" t="inlineStr">
        <is>
          <t>Mic open</t>
        </is>
      </c>
      <c r="K5" s="19" t="inlineStr">
        <is>
          <t>Near-real-time transcript</t>
        </is>
      </c>
      <c r="L5" s="19" t="inlineStr">
        <is>
          <t>Pro + mic permission</t>
        </is>
      </c>
      <c r="M5" s="19" t="inlineStr">
        <is>
          <t>1. Start live
2. Speak
3. Observe transcript</t>
        </is>
      </c>
      <c r="N5" s="19" t="inlineStr">
        <is>
          <t>Segments appear under 2s</t>
        </is>
      </c>
      <c r="O5" s="19" t="inlineStr">
        <is>
          <t>OK</t>
        </is>
      </c>
      <c r="P5" s="19" t="inlineStr">
        <is>
          <t>Pass</t>
        </is>
      </c>
      <c r="Q5" s="19" t="inlineStr">
        <is>
          <t>Completed</t>
        </is>
      </c>
      <c r="R5" s="19" t="inlineStr"/>
      <c r="S5" s="19" t="inlineStr">
        <is>
          <t>Priya Nair</t>
        </is>
      </c>
      <c r="T5" s="19" t="n">
        <v>2</v>
      </c>
      <c r="U5" s="19" t="n">
        <v>1.5</v>
      </c>
      <c r="V5" s="22" t="n">
        <v>46232</v>
      </c>
      <c r="W5" s="19" t="inlineStr">
        <is>
          <t>1.0.0</t>
        </is>
      </c>
      <c r="X5" s="19" t="inlineStr">
        <is>
          <t>Staging</t>
        </is>
      </c>
      <c r="Y5" s="19" t="inlineStr">
        <is>
          <t>Electron</t>
        </is>
      </c>
      <c r="Z5" s="19" t="inlineStr">
        <is>
          <t>Laptop</t>
        </is>
      </c>
      <c r="AA5" s="19" t="inlineStr">
        <is>
          <t>Windows</t>
        </is>
      </c>
      <c r="AB5" s="19" t="inlineStr">
        <is>
          <t>Manual</t>
        </is>
      </c>
      <c r="AC5" s="19" t="inlineStr">
        <is>
          <t>Yes</t>
        </is>
      </c>
      <c r="AD5" s="19" t="inlineStr">
        <is>
          <t>Yes</t>
        </is>
      </c>
      <c r="AE5" s="19" t="inlineStr">
        <is>
          <t>No</t>
        </is>
      </c>
      <c r="AF5" s="19" t="inlineStr">
        <is>
          <t>Sprint 26</t>
        </is>
      </c>
      <c r="AG5" s="19" t="inlineStr">
        <is>
          <t>1.0.0-beta</t>
        </is>
      </c>
      <c r="AH5" s="19" t="inlineStr"/>
    </row>
    <row r="6">
      <c r="A6" s="20" t="inlineStr">
        <is>
          <t>TC-004</t>
        </is>
      </c>
      <c r="B6" s="20" t="inlineStr">
        <is>
          <t>REQ-LIVE-02</t>
        </is>
      </c>
      <c r="C6" s="20" t="inlineStr">
        <is>
          <t>Live Practice Coach</t>
        </is>
      </c>
      <c r="D6" s="20" t="inlineStr">
        <is>
          <t>Overlay</t>
        </is>
      </c>
      <c r="E6" s="20" t="inlineStr">
        <is>
          <t>Pro gate</t>
        </is>
      </c>
      <c r="F6" s="20" t="inlineStr">
        <is>
          <t>/app/live/overlay</t>
        </is>
      </c>
      <c r="G6" s="20" t="inlineStr">
        <is>
          <t>Free User</t>
        </is>
      </c>
      <c r="H6" s="20" t="inlineStr">
        <is>
          <t>Critical</t>
        </is>
      </c>
      <c r="I6" s="20" t="inlineStr">
        <is>
          <t>High</t>
        </is>
      </c>
      <c r="J6" s="20" t="inlineStr">
        <is>
          <t>Free overlay blocked</t>
        </is>
      </c>
      <c r="K6" s="20" t="inlineStr">
        <is>
          <t>Server rejects overlay capture</t>
        </is>
      </c>
      <c r="L6" s="20" t="inlineStr">
        <is>
          <t>Free account</t>
        </is>
      </c>
      <c r="M6" s="20" t="inlineStr">
        <is>
          <t>1. Attempt overlay capture
2. Check response</t>
        </is>
      </c>
      <c r="N6" s="20" t="inlineStr">
        <is>
          <t>403 / upgrade required</t>
        </is>
      </c>
      <c r="O6" s="20" t="inlineStr">
        <is>
          <t>403 returned</t>
        </is>
      </c>
      <c r="P6" s="20" t="inlineStr">
        <is>
          <t>Pass</t>
        </is>
      </c>
      <c r="Q6" s="20" t="inlineStr">
        <is>
          <t>Completed</t>
        </is>
      </c>
      <c r="R6" s="20" t="inlineStr">
        <is>
          <t>BUG-001</t>
        </is>
      </c>
      <c r="S6" s="20" t="inlineStr">
        <is>
          <t>Dev Patel</t>
        </is>
      </c>
      <c r="T6" s="20" t="n">
        <v>1.5</v>
      </c>
      <c r="U6" s="20" t="n">
        <v>1.25</v>
      </c>
      <c r="V6" s="23" t="n">
        <v>46232</v>
      </c>
      <c r="W6" s="20" t="inlineStr">
        <is>
          <t>1.0.0</t>
        </is>
      </c>
      <c r="X6" s="20" t="inlineStr">
        <is>
          <t>Staging</t>
        </is>
      </c>
      <c r="Y6" s="20" t="inlineStr">
        <is>
          <t>Electron</t>
        </is>
      </c>
      <c r="Z6" s="20" t="inlineStr">
        <is>
          <t>Desktop</t>
        </is>
      </c>
      <c r="AA6" s="20" t="inlineStr">
        <is>
          <t>Windows</t>
        </is>
      </c>
      <c r="AB6" s="20" t="inlineStr">
        <is>
          <t>Candidate</t>
        </is>
      </c>
      <c r="AC6" s="20" t="inlineStr">
        <is>
          <t>Yes</t>
        </is>
      </c>
      <c r="AD6" s="20" t="inlineStr">
        <is>
          <t>Yes</t>
        </is>
      </c>
      <c r="AE6" s="20" t="inlineStr">
        <is>
          <t>No</t>
        </is>
      </c>
      <c r="AF6" s="20" t="inlineStr">
        <is>
          <t>Sprint 26</t>
        </is>
      </c>
      <c r="AG6" s="20" t="inlineStr">
        <is>
          <t>1.0.0-beta</t>
        </is>
      </c>
      <c r="AH6" s="20" t="inlineStr">
        <is>
          <t>Retest after P0-3</t>
        </is>
      </c>
    </row>
    <row r="7">
      <c r="A7" s="19" t="inlineStr">
        <is>
          <t>TC-005</t>
        </is>
      </c>
      <c r="B7" s="19" t="inlineStr">
        <is>
          <t>REQ-BILL-01</t>
        </is>
      </c>
      <c r="C7" s="19" t="inlineStr">
        <is>
          <t>Billing &amp; Credits</t>
        </is>
      </c>
      <c r="D7" s="19" t="inlineStr">
        <is>
          <t>Checkout</t>
        </is>
      </c>
      <c r="E7" s="19" t="inlineStr">
        <is>
          <t>Max Stripe price</t>
        </is>
      </c>
      <c r="F7" s="19" t="inlineStr">
        <is>
          <t>/pricing</t>
        </is>
      </c>
      <c r="G7" s="19" t="inlineStr">
        <is>
          <t>Free User</t>
        </is>
      </c>
      <c r="H7" s="19" t="inlineStr">
        <is>
          <t>Critical</t>
        </is>
      </c>
      <c r="I7" s="19" t="inlineStr">
        <is>
          <t>Critical</t>
        </is>
      </c>
      <c r="J7" s="19" t="inlineStr">
        <is>
          <t>Upgrade Max</t>
        </is>
      </c>
      <c r="K7" s="19" t="inlineStr">
        <is>
          <t>Enterprise price id used</t>
        </is>
      </c>
      <c r="L7" s="19" t="inlineStr">
        <is>
          <t>Stripe test keys</t>
        </is>
      </c>
      <c r="M7" s="19" t="inlineStr">
        <is>
          <t>1. Select Max
2. Checkout
3. Inspect price</t>
        </is>
      </c>
      <c r="N7" s="19" t="inlineStr">
        <is>
          <t>Non-empty enterprise price</t>
        </is>
      </c>
      <c r="O7" s="19" t="inlineStr">
        <is>
          <t>OK</t>
        </is>
      </c>
      <c r="P7" s="19" t="inlineStr">
        <is>
          <t>Pass</t>
        </is>
      </c>
      <c r="Q7" s="19" t="inlineStr">
        <is>
          <t>Completed</t>
        </is>
      </c>
      <c r="R7" s="19" t="inlineStr"/>
      <c r="S7" s="19" t="inlineStr">
        <is>
          <t>Asha Sharma</t>
        </is>
      </c>
      <c r="T7" s="19" t="n">
        <v>2</v>
      </c>
      <c r="U7" s="19" t="n">
        <v>1.5</v>
      </c>
      <c r="V7" s="22" t="n">
        <v>46232</v>
      </c>
      <c r="W7" s="19" t="inlineStr">
        <is>
          <t>1.0.0</t>
        </is>
      </c>
      <c r="X7" s="19" t="inlineStr">
        <is>
          <t>Staging</t>
        </is>
      </c>
      <c r="Y7" s="19" t="inlineStr">
        <is>
          <t>Chrome</t>
        </is>
      </c>
      <c r="Z7" s="19" t="inlineStr">
        <is>
          <t>Desktop</t>
        </is>
      </c>
      <c r="AA7" s="19" t="inlineStr">
        <is>
          <t>Web</t>
        </is>
      </c>
      <c r="AB7" s="19" t="inlineStr">
        <is>
          <t>Manual</t>
        </is>
      </c>
      <c r="AC7" s="19" t="inlineStr">
        <is>
          <t>Yes</t>
        </is>
      </c>
      <c r="AD7" s="19" t="inlineStr">
        <is>
          <t>Yes</t>
        </is>
      </c>
      <c r="AE7" s="19" t="inlineStr">
        <is>
          <t>Yes</t>
        </is>
      </c>
      <c r="AF7" s="19" t="inlineStr">
        <is>
          <t>Sprint 26</t>
        </is>
      </c>
      <c r="AG7" s="19" t="inlineStr">
        <is>
          <t>1.0.0-beta</t>
        </is>
      </c>
      <c r="AH7" s="19" t="inlineStr">
        <is>
          <t>P0-1</t>
        </is>
      </c>
    </row>
    <row r="8">
      <c r="A8" s="20" t="inlineStr">
        <is>
          <t>TC-006</t>
        </is>
      </c>
      <c r="B8" s="20" t="inlineStr">
        <is>
          <t>REQ-BILL-02</t>
        </is>
      </c>
      <c r="C8" s="20" t="inlineStr">
        <is>
          <t>Billing &amp; Credits</t>
        </is>
      </c>
      <c r="D8" s="20" t="inlineStr">
        <is>
          <t>Webhook</t>
        </is>
      </c>
      <c r="E8" s="20" t="inlineStr">
        <is>
          <t>payment_failed</t>
        </is>
      </c>
      <c r="F8" s="20" t="inlineStr">
        <is>
          <t>stripe-webhook</t>
        </is>
      </c>
      <c r="G8" s="20" t="inlineStr">
        <is>
          <t>Pro User</t>
        </is>
      </c>
      <c r="H8" s="20" t="inlineStr">
        <is>
          <t>Critical</t>
        </is>
      </c>
      <c r="I8" s="20" t="inlineStr">
        <is>
          <t>Critical</t>
        </is>
      </c>
      <c r="J8" s="20" t="inlineStr">
        <is>
          <t>Failed invoice</t>
        </is>
      </c>
      <c r="K8" s="20" t="inlineStr">
        <is>
          <t>Wallet not wiped</t>
        </is>
      </c>
      <c r="L8" s="20" t="inlineStr">
        <is>
          <t>credits=500</t>
        </is>
      </c>
      <c r="M8" s="20" t="inlineStr">
        <is>
          <t>1. Simulate invoice.payment_failed
2. Read credits</t>
        </is>
      </c>
      <c r="N8" s="20" t="inlineStr">
        <is>
          <t>Credits remain 500</t>
        </is>
      </c>
      <c r="O8" s="20" t="inlineStr">
        <is>
          <t>Unchanged</t>
        </is>
      </c>
      <c r="P8" s="20" t="inlineStr">
        <is>
          <t>Pass</t>
        </is>
      </c>
      <c r="Q8" s="20" t="inlineStr">
        <is>
          <t>Completed</t>
        </is>
      </c>
      <c r="R8" s="20" t="inlineStr"/>
      <c r="S8" s="20" t="inlineStr">
        <is>
          <t>Dev Patel</t>
        </is>
      </c>
      <c r="T8" s="20" t="n">
        <v>1.5</v>
      </c>
      <c r="U8" s="20" t="n">
        <v>1</v>
      </c>
      <c r="V8" s="23" t="n">
        <v>46232</v>
      </c>
      <c r="W8" s="20" t="inlineStr">
        <is>
          <t>1.0.0</t>
        </is>
      </c>
      <c r="X8" s="20" t="inlineStr">
        <is>
          <t>CI</t>
        </is>
      </c>
      <c r="Y8" s="20" t="inlineStr">
        <is>
          <t>N/A</t>
        </is>
      </c>
      <c r="Z8" s="20" t="inlineStr">
        <is>
          <t>Desktop</t>
        </is>
      </c>
      <c r="AA8" s="20" t="inlineStr">
        <is>
          <t>Web</t>
        </is>
      </c>
      <c r="AB8" s="20" t="inlineStr">
        <is>
          <t>Automated</t>
        </is>
      </c>
      <c r="AC8" s="20" t="inlineStr">
        <is>
          <t>Yes</t>
        </is>
      </c>
      <c r="AD8" s="20" t="inlineStr">
        <is>
          <t>Yes</t>
        </is>
      </c>
      <c r="AE8" s="20" t="inlineStr">
        <is>
          <t>No</t>
        </is>
      </c>
      <c r="AF8" s="20" t="inlineStr">
        <is>
          <t>Sprint 26</t>
        </is>
      </c>
      <c r="AG8" s="20" t="inlineStr">
        <is>
          <t>1.0.0-beta</t>
        </is>
      </c>
      <c r="AH8" s="20" t="inlineStr">
        <is>
          <t>P0-2</t>
        </is>
      </c>
    </row>
    <row r="9">
      <c r="A9" s="19" t="inlineStr">
        <is>
          <t>TC-007</t>
        </is>
      </c>
      <c r="B9" s="19" t="inlineStr">
        <is>
          <t>REQ-DOC-01</t>
        </is>
      </c>
      <c r="C9" s="19" t="inlineStr">
        <is>
          <t>Documents &amp; Resumes</t>
        </is>
      </c>
      <c r="D9" s="19" t="inlineStr">
        <is>
          <t>Parse</t>
        </is>
      </c>
      <c r="E9" s="19" t="inlineStr">
        <is>
          <t>Free onboarding parse</t>
        </is>
      </c>
      <c r="F9" s="19" t="inlineStr">
        <is>
          <t>/onboarding</t>
        </is>
      </c>
      <c r="G9" s="19" t="inlineStr">
        <is>
          <t>Free User</t>
        </is>
      </c>
      <c r="H9" s="19" t="inlineStr">
        <is>
          <t>High</t>
        </is>
      </c>
      <c r="I9" s="19" t="inlineStr">
        <is>
          <t>Medium</t>
        </is>
      </c>
      <c r="J9" s="19" t="inlineStr">
        <is>
          <t>First parse free</t>
        </is>
      </c>
      <c r="K9" s="19" t="inlineStr">
        <is>
          <t>No deduct on first onboarding parse</t>
        </is>
      </c>
      <c r="L9" s="19" t="inlineStr">
        <is>
          <t>onboarding_completed=false</t>
        </is>
      </c>
      <c r="M9" s="19" t="inlineStr">
        <is>
          <t>1. Upload resume
2. Check ledger</t>
        </is>
      </c>
      <c r="N9" s="19" t="inlineStr">
        <is>
          <t>Free path / no deduct</t>
        </is>
      </c>
      <c r="O9" s="19" t="inlineStr"/>
      <c r="P9" s="19" t="inlineStr">
        <is>
          <t>Not Run</t>
        </is>
      </c>
      <c r="Q9" s="19" t="inlineStr">
        <is>
          <t>Ready</t>
        </is>
      </c>
      <c r="R9" s="19" t="inlineStr"/>
      <c r="S9" s="19" t="inlineStr">
        <is>
          <t>Priya Nair</t>
        </is>
      </c>
      <c r="T9" s="19" t="n">
        <v>1.5</v>
      </c>
      <c r="U9" s="19" t="n">
        <v>0</v>
      </c>
      <c r="V9" s="19" t="inlineStr"/>
      <c r="W9" s="19" t="inlineStr">
        <is>
          <t>1.0.0</t>
        </is>
      </c>
      <c r="X9" s="19" t="inlineStr">
        <is>
          <t>Staging</t>
        </is>
      </c>
      <c r="Y9" s="19" t="inlineStr">
        <is>
          <t>Chrome</t>
        </is>
      </c>
      <c r="Z9" s="19" t="inlineStr">
        <is>
          <t>Desktop</t>
        </is>
      </c>
      <c r="AA9" s="19" t="inlineStr">
        <is>
          <t>Web</t>
        </is>
      </c>
      <c r="AB9" s="19" t="inlineStr">
        <is>
          <t>Manual</t>
        </is>
      </c>
      <c r="AC9" s="19" t="inlineStr">
        <is>
          <t>Yes</t>
        </is>
      </c>
      <c r="AD9" s="19" t="inlineStr">
        <is>
          <t>No</t>
        </is>
      </c>
      <c r="AE9" s="19" t="inlineStr">
        <is>
          <t>Yes</t>
        </is>
      </c>
      <c r="AF9" s="19" t="inlineStr">
        <is>
          <t>Sprint 26</t>
        </is>
      </c>
      <c r="AG9" s="19" t="inlineStr">
        <is>
          <t>1.0.0-beta</t>
        </is>
      </c>
      <c r="AH9" s="19" t="inlineStr"/>
    </row>
    <row r="10">
      <c r="A10" s="20" t="inlineStr">
        <is>
          <t>TC-008</t>
        </is>
      </c>
      <c r="B10" s="20" t="inlineStr">
        <is>
          <t>REQ-GOV-01</t>
        </is>
      </c>
      <c r="C10" s="20" t="inlineStr">
        <is>
          <t>Gov Exam Mock Tests</t>
        </is>
      </c>
      <c r="D10" s="20" t="inlineStr">
        <is>
          <t>Submit</t>
        </is>
      </c>
      <c r="E10" s="20" t="inlineStr">
        <is>
          <t>Atomic submit</t>
        </is>
      </c>
      <c r="F10" s="20" t="inlineStr">
        <is>
          <t>/app/mock-test/session/:id</t>
        </is>
      </c>
      <c r="G10" s="20" t="inlineStr">
        <is>
          <t>Free User</t>
        </is>
      </c>
      <c r="H10" s="20" t="inlineStr">
        <is>
          <t>Critical</t>
        </is>
      </c>
      <c r="I10" s="20" t="inlineStr">
        <is>
          <t>High</t>
        </is>
      </c>
      <c r="J10" s="20" t="inlineStr">
        <is>
          <t>Submit answers</t>
        </is>
      </c>
      <c r="K10" s="20" t="inlineStr">
        <is>
          <t>Score persisted once</t>
        </is>
      </c>
      <c r="L10" s="20" t="inlineStr">
        <is>
          <t>Active test</t>
        </is>
      </c>
      <c r="M10" s="20" t="inlineStr">
        <is>
          <t>1. Answer
2. Submit
3. Open results</t>
        </is>
      </c>
      <c r="N10" s="20" t="inlineStr">
        <is>
          <t>Score + breakdown</t>
        </is>
      </c>
      <c r="O10" s="20" t="inlineStr">
        <is>
          <t>OK</t>
        </is>
      </c>
      <c r="P10" s="20" t="inlineStr">
        <is>
          <t>Pass</t>
        </is>
      </c>
      <c r="Q10" s="20" t="inlineStr">
        <is>
          <t>Completed</t>
        </is>
      </c>
      <c r="R10" s="20" t="inlineStr"/>
      <c r="S10" s="20" t="inlineStr">
        <is>
          <t>Rohan Mehta</t>
        </is>
      </c>
      <c r="T10" s="20" t="n">
        <v>2</v>
      </c>
      <c r="U10" s="20" t="n">
        <v>1.75</v>
      </c>
      <c r="V10" s="23" t="n">
        <v>46232</v>
      </c>
      <c r="W10" s="20" t="inlineStr">
        <is>
          <t>1.0.0</t>
        </is>
      </c>
      <c r="X10" s="20" t="inlineStr">
        <is>
          <t>Staging</t>
        </is>
      </c>
      <c r="Y10" s="20" t="inlineStr">
        <is>
          <t>Chrome</t>
        </is>
      </c>
      <c r="Z10" s="20" t="inlineStr">
        <is>
          <t>Android Phone</t>
        </is>
      </c>
      <c r="AA10" s="20" t="inlineStr">
        <is>
          <t>Android</t>
        </is>
      </c>
      <c r="AB10" s="20" t="inlineStr">
        <is>
          <t>Manual</t>
        </is>
      </c>
      <c r="AC10" s="20" t="inlineStr">
        <is>
          <t>Yes</t>
        </is>
      </c>
      <c r="AD10" s="20" t="inlineStr">
        <is>
          <t>Yes</t>
        </is>
      </c>
      <c r="AE10" s="20" t="inlineStr">
        <is>
          <t>Yes</t>
        </is>
      </c>
      <c r="AF10" s="20" t="inlineStr">
        <is>
          <t>Sprint 26</t>
        </is>
      </c>
      <c r="AG10" s="20" t="inlineStr">
        <is>
          <t>1.0.0-beta</t>
        </is>
      </c>
      <c r="AH10" s="20" t="inlineStr"/>
    </row>
    <row r="11">
      <c r="A11" s="19" t="inlineStr">
        <is>
          <t>TC-009</t>
        </is>
      </c>
      <c r="B11" s="19" t="inlineStr">
        <is>
          <t>REQ-ADM-01</t>
        </is>
      </c>
      <c r="C11" s="19" t="inlineStr">
        <is>
          <t>Admin Portal</t>
        </is>
      </c>
      <c r="D11" s="19" t="inlineStr">
        <is>
          <t>Revenue</t>
        </is>
      </c>
      <c r="E11" s="19" t="inlineStr">
        <is>
          <t>USD vs INR</t>
        </is>
      </c>
      <c r="F11" s="19" t="inlineStr">
        <is>
          <t>/app/admin/revenue</t>
        </is>
      </c>
      <c r="G11" s="19" t="inlineStr">
        <is>
          <t>Admin</t>
        </is>
      </c>
      <c r="H11" s="19" t="inlineStr">
        <is>
          <t>Critical</t>
        </is>
      </c>
      <c r="I11" s="19" t="inlineStr">
        <is>
          <t>High</t>
        </is>
      </c>
      <c r="J11" s="19" t="inlineStr">
        <is>
          <t>Admin revenue view</t>
        </is>
      </c>
      <c r="K11" s="19" t="inlineStr">
        <is>
          <t>Currencies separate</t>
        </is>
      </c>
      <c r="L11" s="19" t="inlineStr">
        <is>
          <t>Admin + sample data</t>
        </is>
      </c>
      <c r="M11" s="19" t="inlineStr">
        <is>
          <t>1. Open Revenue
2. Compare hand calc</t>
        </is>
      </c>
      <c r="N11" s="19" t="inlineStr">
        <is>
          <t>USD MRR + INR separate</t>
        </is>
      </c>
      <c r="O11" s="19" t="inlineStr">
        <is>
          <t>OK</t>
        </is>
      </c>
      <c r="P11" s="19" t="inlineStr">
        <is>
          <t>Pass</t>
        </is>
      </c>
      <c r="Q11" s="19" t="inlineStr">
        <is>
          <t>Completed</t>
        </is>
      </c>
      <c r="R11" s="19" t="inlineStr"/>
      <c r="S11" s="19" t="inlineStr">
        <is>
          <t>Kavya Iyer</t>
        </is>
      </c>
      <c r="T11" s="19" t="n">
        <v>2.5</v>
      </c>
      <c r="U11" s="19" t="n">
        <v>2</v>
      </c>
      <c r="V11" s="22" t="n">
        <v>46232</v>
      </c>
      <c r="W11" s="19" t="inlineStr">
        <is>
          <t>1.0.0</t>
        </is>
      </c>
      <c r="X11" s="19" t="inlineStr">
        <is>
          <t>Staging</t>
        </is>
      </c>
      <c r="Y11" s="19" t="inlineStr">
        <is>
          <t>Chrome</t>
        </is>
      </c>
      <c r="Z11" s="19" t="inlineStr">
        <is>
          <t>Desktop</t>
        </is>
      </c>
      <c r="AA11" s="19" t="inlineStr">
        <is>
          <t>Web</t>
        </is>
      </c>
      <c r="AB11" s="19" t="inlineStr">
        <is>
          <t>Manual</t>
        </is>
      </c>
      <c r="AC11" s="19" t="inlineStr">
        <is>
          <t>Yes</t>
        </is>
      </c>
      <c r="AD11" s="19" t="inlineStr">
        <is>
          <t>No</t>
        </is>
      </c>
      <c r="AE11" s="19" t="inlineStr">
        <is>
          <t>No</t>
        </is>
      </c>
      <c r="AF11" s="19" t="inlineStr">
        <is>
          <t>Sprint 26</t>
        </is>
      </c>
      <c r="AG11" s="19" t="inlineStr">
        <is>
          <t>1.0.0-beta</t>
        </is>
      </c>
      <c r="AH11" s="19" t="inlineStr">
        <is>
          <t>P0-6</t>
        </is>
      </c>
    </row>
    <row r="12">
      <c r="A12" s="20" t="inlineStr">
        <is>
          <t>TC-010</t>
        </is>
      </c>
      <c r="B12" s="20" t="inlineStr">
        <is>
          <t>REQ-APP-01</t>
        </is>
      </c>
      <c r="C12" s="20" t="inlineStr">
        <is>
          <t>Dashboard</t>
        </is>
      </c>
      <c r="D12" s="20" t="inlineStr">
        <is>
          <t>Routing</t>
        </is>
      </c>
      <c r="E12" s="20" t="inlineStr">
        <is>
          <t>In-app 404</t>
        </is>
      </c>
      <c r="F12" s="20" t="inlineStr">
        <is>
          <t>/app/does-not-exist</t>
        </is>
      </c>
      <c r="G12" s="20" t="inlineStr">
        <is>
          <t>Pro User</t>
        </is>
      </c>
      <c r="H12" s="20" t="inlineStr">
        <is>
          <t>Medium</t>
        </is>
      </c>
      <c r="I12" s="20" t="inlineStr">
        <is>
          <t>Low</t>
        </is>
      </c>
      <c r="J12" s="20" t="inlineStr">
        <is>
          <t>Unknown route</t>
        </is>
      </c>
      <c r="K12" s="20" t="inlineStr">
        <is>
          <t>NotFound in AppShell</t>
        </is>
      </c>
      <c r="L12" s="20" t="inlineStr">
        <is>
          <t>Authenticated</t>
        </is>
      </c>
      <c r="M12" s="20" t="inlineStr">
        <is>
          <t>1. Navigate unknown /app path</t>
        </is>
      </c>
      <c r="N12" s="20" t="inlineStr">
        <is>
          <t>In-app NotFound</t>
        </is>
      </c>
      <c r="O12" s="20" t="inlineStr">
        <is>
          <t>OK</t>
        </is>
      </c>
      <c r="P12" s="20" t="inlineStr">
        <is>
          <t>Pass</t>
        </is>
      </c>
      <c r="Q12" s="20" t="inlineStr">
        <is>
          <t>Completed</t>
        </is>
      </c>
      <c r="R12" s="20" t="inlineStr"/>
      <c r="S12" s="20" t="inlineStr">
        <is>
          <t>Asha Sharma</t>
        </is>
      </c>
      <c r="T12" s="20" t="n">
        <v>0.5</v>
      </c>
      <c r="U12" s="20" t="n">
        <v>0.25</v>
      </c>
      <c r="V12" s="23" t="n">
        <v>46232</v>
      </c>
      <c r="W12" s="20" t="inlineStr">
        <is>
          <t>1.0.0</t>
        </is>
      </c>
      <c r="X12" s="20" t="inlineStr">
        <is>
          <t>Staging</t>
        </is>
      </c>
      <c r="Y12" s="20" t="inlineStr">
        <is>
          <t>Chrome</t>
        </is>
      </c>
      <c r="Z12" s="20" t="inlineStr">
        <is>
          <t>Desktop</t>
        </is>
      </c>
      <c r="AA12" s="20" t="inlineStr">
        <is>
          <t>Web</t>
        </is>
      </c>
      <c r="AB12" s="20" t="inlineStr">
        <is>
          <t>Manual</t>
        </is>
      </c>
      <c r="AC12" s="20" t="inlineStr">
        <is>
          <t>Yes</t>
        </is>
      </c>
      <c r="AD12" s="20" t="inlineStr">
        <is>
          <t>Yes</t>
        </is>
      </c>
      <c r="AE12" s="20" t="inlineStr">
        <is>
          <t>Yes</t>
        </is>
      </c>
      <c r="AF12" s="20" t="inlineStr">
        <is>
          <t>Sprint 26</t>
        </is>
      </c>
      <c r="AG12" s="20" t="inlineStr">
        <is>
          <t>1.0.0-beta</t>
        </is>
      </c>
      <c r="AH12" s="20" t="inlineStr">
        <is>
          <t>P1-4</t>
        </is>
      </c>
    </row>
    <row r="13">
      <c r="A13" s="19" t="inlineStr">
        <is>
          <t>TC-011</t>
        </is>
      </c>
      <c r="B13" s="19" t="inlineStr">
        <is>
          <t>REQ-LIVE-03</t>
        </is>
      </c>
      <c r="C13" s="19" t="inlineStr">
        <is>
          <t>Live Practice Coach</t>
        </is>
      </c>
      <c r="D13" s="19" t="inlineStr">
        <is>
          <t>Credits</t>
        </is>
      </c>
      <c r="E13" s="19" t="inlineStr">
        <is>
          <t>Hint deduct</t>
        </is>
      </c>
      <c r="F13" s="19" t="inlineStr">
        <is>
          <t>/app/live</t>
        </is>
      </c>
      <c r="G13" s="19" t="inlineStr">
        <is>
          <t>Pro User</t>
        </is>
      </c>
      <c r="H13" s="19" t="inlineStr">
        <is>
          <t>High</t>
        </is>
      </c>
      <c r="I13" s="19" t="inlineStr">
        <is>
          <t>High</t>
        </is>
      </c>
      <c r="J13" s="19" t="inlineStr">
        <is>
          <t>Insufficient credits</t>
        </is>
      </c>
      <c r="K13" s="19" t="inlineStr">
        <is>
          <t>402 when wallet low</t>
        </is>
      </c>
      <c r="L13" s="19" t="inlineStr">
        <is>
          <t>credits below cost</t>
        </is>
      </c>
      <c r="M13" s="19" t="inlineStr">
        <is>
          <t>1. Drain credits
2. Request hint</t>
        </is>
      </c>
      <c r="N13" s="19" t="inlineStr">
        <is>
          <t>402 + message</t>
        </is>
      </c>
      <c r="O13" s="19" t="inlineStr">
        <is>
          <t>In progress</t>
        </is>
      </c>
      <c r="P13" s="19" t="inlineStr">
        <is>
          <t>In Progress</t>
        </is>
      </c>
      <c r="Q13" s="19" t="inlineStr">
        <is>
          <t>In Progress</t>
        </is>
      </c>
      <c r="R13" s="19" t="inlineStr"/>
      <c r="S13" s="19" t="inlineStr">
        <is>
          <t>Dev Patel</t>
        </is>
      </c>
      <c r="T13" s="19" t="n">
        <v>1.5</v>
      </c>
      <c r="U13" s="19" t="n">
        <v>0.5</v>
      </c>
      <c r="V13" s="22" t="n">
        <v>46232</v>
      </c>
      <c r="W13" s="19" t="inlineStr">
        <is>
          <t>1.0.0</t>
        </is>
      </c>
      <c r="X13" s="19" t="inlineStr">
        <is>
          <t>Staging</t>
        </is>
      </c>
      <c r="Y13" s="19" t="inlineStr">
        <is>
          <t>Chrome</t>
        </is>
      </c>
      <c r="Z13" s="19" t="inlineStr">
        <is>
          <t>Desktop</t>
        </is>
      </c>
      <c r="AA13" s="19" t="inlineStr">
        <is>
          <t>Web</t>
        </is>
      </c>
      <c r="AB13" s="19" t="inlineStr">
        <is>
          <t>Candidate</t>
        </is>
      </c>
      <c r="AC13" s="19" t="inlineStr">
        <is>
          <t>Yes</t>
        </is>
      </c>
      <c r="AD13" s="19" t="inlineStr">
        <is>
          <t>No</t>
        </is>
      </c>
      <c r="AE13" s="19" t="inlineStr">
        <is>
          <t>No</t>
        </is>
      </c>
      <c r="AF13" s="19" t="inlineStr">
        <is>
          <t>Sprint 26</t>
        </is>
      </c>
      <c r="AG13" s="19" t="inlineStr">
        <is>
          <t>1.0.0-beta</t>
        </is>
      </c>
      <c r="AH13" s="19" t="inlineStr"/>
    </row>
    <row r="14">
      <c r="A14" s="20" t="inlineStr">
        <is>
          <t>TC-012</t>
        </is>
      </c>
      <c r="B14" s="20" t="inlineStr">
        <is>
          <t>REQ-SEC-01</t>
        </is>
      </c>
      <c r="C14" s="20" t="inlineStr">
        <is>
          <t>Security &amp; Platform</t>
        </is>
      </c>
      <c r="D14" s="20" t="inlineStr">
        <is>
          <t>Authz</t>
        </is>
      </c>
      <c r="E14" s="20" t="inlineStr">
        <is>
          <t>Non-admin admin route</t>
        </is>
      </c>
      <c r="F14" s="20" t="inlineStr">
        <is>
          <t>/app/admin</t>
        </is>
      </c>
      <c r="G14" s="20" t="inlineStr">
        <is>
          <t>Free User</t>
        </is>
      </c>
      <c r="H14" s="20" t="inlineStr">
        <is>
          <t>Critical</t>
        </is>
      </c>
      <c r="I14" s="20" t="inlineStr">
        <is>
          <t>Critical</t>
        </is>
      </c>
      <c r="J14" s="20" t="inlineStr">
        <is>
          <t>Unauthorized admin</t>
        </is>
      </c>
      <c r="K14" s="20" t="inlineStr">
        <is>
          <t>Redirect / deny</t>
        </is>
      </c>
      <c r="L14" s="20" t="inlineStr">
        <is>
          <t>Non-admin user</t>
        </is>
      </c>
      <c r="M14" s="20" t="inlineStr">
        <is>
          <t>1. Open /app/admin</t>
        </is>
      </c>
      <c r="N14" s="20" t="inlineStr">
        <is>
          <t>Denied</t>
        </is>
      </c>
      <c r="O14" s="20" t="inlineStr">
        <is>
          <t>Denied</t>
        </is>
      </c>
      <c r="P14" s="20" t="inlineStr">
        <is>
          <t>Pass</t>
        </is>
      </c>
      <c r="Q14" s="20" t="inlineStr">
        <is>
          <t>Completed</t>
        </is>
      </c>
      <c r="R14" s="20" t="inlineStr"/>
      <c r="S14" s="20" t="inlineStr">
        <is>
          <t>Kavya Iyer</t>
        </is>
      </c>
      <c r="T14" s="20" t="n">
        <v>1</v>
      </c>
      <c r="U14" s="20" t="n">
        <v>0.75</v>
      </c>
      <c r="V14" s="23" t="n">
        <v>46232</v>
      </c>
      <c r="W14" s="20" t="inlineStr">
        <is>
          <t>1.0.0</t>
        </is>
      </c>
      <c r="X14" s="20" t="inlineStr">
        <is>
          <t>Staging</t>
        </is>
      </c>
      <c r="Y14" s="20" t="inlineStr">
        <is>
          <t>Chrome</t>
        </is>
      </c>
      <c r="Z14" s="20" t="inlineStr">
        <is>
          <t>Desktop</t>
        </is>
      </c>
      <c r="AA14" s="20" t="inlineStr">
        <is>
          <t>Web</t>
        </is>
      </c>
      <c r="AB14" s="20" t="inlineStr">
        <is>
          <t>Manual</t>
        </is>
      </c>
      <c r="AC14" s="20" t="inlineStr">
        <is>
          <t>Yes</t>
        </is>
      </c>
      <c r="AD14" s="20" t="inlineStr">
        <is>
          <t>Yes</t>
        </is>
      </c>
      <c r="AE14" s="20" t="inlineStr">
        <is>
          <t>Yes</t>
        </is>
      </c>
      <c r="AF14" s="20" t="inlineStr">
        <is>
          <t>Sprint 26</t>
        </is>
      </c>
      <c r="AG14" s="20" t="inlineStr">
        <is>
          <t>1.0.0-beta</t>
        </is>
      </c>
      <c r="AH14" s="20" t="inlineStr"/>
    </row>
    <row r="15">
      <c r="A15" s="24" t="inlineStr">
        <is>
          <t>TOTAL</t>
        </is>
      </c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24">
        <f>SUM(T3:T14)</f>
        <v/>
      </c>
      <c r="U15" s="24">
        <f>SUM(U3:U14)</f>
        <v/>
      </c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19" t="n"/>
      <c r="AE15" s="19" t="n"/>
      <c r="AF15" s="19" t="n"/>
      <c r="AG15" s="19" t="n"/>
      <c r="AH15" s="19" t="n"/>
    </row>
  </sheetData>
  <autoFilter ref="A2:AH15"/>
  <mergeCells count="1">
    <mergeCell ref="A1:H1"/>
  </mergeCells>
  <conditionalFormatting sqref="P3:P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Q3:Q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H3:H500">
    <cfRule type="cellIs" priority="35" operator="equal" dxfId="0">
      <formula>"Critical"</formula>
    </cfRule>
    <cfRule type="cellIs" priority="36" operator="equal" dxfId="1">
      <formula>"High"</formula>
    </cfRule>
    <cfRule type="cellIs" priority="37" operator="equal" dxfId="2">
      <formula>"Medium"</formula>
    </cfRule>
    <cfRule type="cellIs" priority="38" operator="equal" dxfId="3">
      <formula>"Low"</formula>
    </cfRule>
  </conditionalFormatting>
  <conditionalFormatting sqref="I3:I500">
    <cfRule type="cellIs" priority="39" operator="equal" dxfId="0">
      <formula>"Critical"</formula>
    </cfRule>
    <cfRule type="cellIs" priority="40" operator="equal" dxfId="1">
      <formula>"High"</formula>
    </cfRule>
    <cfRule type="cellIs" priority="41" operator="equal" dxfId="2">
      <formula>"Medium"</formula>
    </cfRule>
    <cfRule type="cellIs" priority="42" operator="equal" dxfId="3">
      <formula>"Low"</formula>
    </cfRule>
  </conditionalFormatting>
  <dataValidations count="15">
    <dataValidation sqref="C3:C5000" showDropDown="0" showInputMessage="0" showErrorMessage="0" allowBlank="1" errorTitle="Invalid" error="Pick a value from the list" type="list">
      <formula1>Lists!$Z$2:$Z$21</formula1>
    </dataValidation>
    <dataValidation sqref="G3:G5000" showDropDown="0" showInputMessage="0" showErrorMessage="0" allowBlank="1" errorTitle="Invalid" error="Pick a value from the list" type="list">
      <formula1>Lists!$AB$2:$AB$6</formula1>
    </dataValidation>
    <dataValidation sqref="H3:H5000" showDropDown="0" showInputMessage="0" showErrorMessage="0" allowBlank="1" errorTitle="Invalid" error="Pick a value from the list" type="list">
      <formula1>Lists!$C$2:$C$5</formula1>
    </dataValidation>
    <dataValidation sqref="I3:I5000" showDropDown="0" showInputMessage="0" showErrorMessage="0" allowBlank="1" errorTitle="Invalid" error="Pick a value from the list" type="list">
      <formula1>Lists!$D$2:$D$5</formula1>
    </dataValidation>
    <dataValidation sqref="P3:P5000" showDropDown="0" showInputMessage="0" showErrorMessage="0" allowBlank="1" errorTitle="Invalid" error="Pick a value from the list" type="list">
      <formula1>Lists!$B$2:$B$7</formula1>
    </dataValidation>
    <dataValidation sqref="Q3:Q5000" showDropDown="0" showInputMessage="0" showErrorMessage="0" allowBlank="1" errorTitle="Invalid" error="Pick a value from the list" type="list">
      <formula1>Lists!$A$2:$A$9</formula1>
    </dataValidation>
    <dataValidation sqref="S3:S5000" showDropDown="0" showInputMessage="0" showErrorMessage="0" allowBlank="1" errorTitle="Invalid" error="Pick a value from the list" type="list">
      <formula1>Lists!$AC$2:$AC$6</formula1>
    </dataValidation>
    <dataValidation sqref="X3:X5000" showDropDown="0" showInputMessage="0" showErrorMessage="0" allowBlank="1" errorTitle="Invalid" error="Pick a value from the list" type="list">
      <formula1>Lists!$E$2:$E$7</formula1>
    </dataValidation>
    <dataValidation sqref="Y3:Y5000" showDropDown="0" showInputMessage="0" showErrorMessage="0" allowBlank="1" errorTitle="Invalid" error="Pick a value from the list" type="list">
      <formula1>Lists!$F$2:$F$7</formula1>
    </dataValidation>
    <dataValidation sqref="Z3:Z5000" showDropDown="0" showInputMessage="0" showErrorMessage="0" allowBlank="1" errorTitle="Invalid" error="Pick a value from the list" type="list">
      <formula1>Lists!$G$2:$G$7</formula1>
    </dataValidation>
    <dataValidation sqref="AA3:AA5000" showDropDown="0" showInputMessage="0" showErrorMessage="0" allowBlank="1" errorTitle="Invalid" error="Pick a value from the list" type="list">
      <formula1>Lists!$H$2:$H$7</formula1>
    </dataValidation>
    <dataValidation sqref="AB3:AB5000" showDropDown="0" showInputMessage="0" showErrorMessage="0" allowBlank="1" errorTitle="Invalid" error="Pick a value from the list" type="list">
      <formula1>Lists!$N$2:$N$5</formula1>
    </dataValidation>
    <dataValidation sqref="AC3:AE5000" showDropDown="0" showInputMessage="0" showErrorMessage="0" allowBlank="1" errorTitle="Invalid" error="Pick a value from the list" type="list">
      <formula1>Lists!$I$2:$I$5</formula1>
    </dataValidation>
    <dataValidation sqref="AF3:AF5000" showDropDown="0" showInputMessage="0" showErrorMessage="0" allowBlank="1" errorTitle="Invalid" error="Pick a value from the list" type="list">
      <formula1>Lists!$W$2:$W$6</formula1>
    </dataValidation>
    <dataValidation sqref="AG3:AG5000" showDropDown="0" showInputMessage="0" showErrorMessage="0" allowBlank="1" errorTitle="Invalid" error="Pick a value from the list" type="list">
      <formula1>Lists!$X$2:$X$5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27" customWidth="1" min="4" max="4"/>
    <col width="28" customWidth="1" min="5" max="5"/>
    <col width="36" customWidth="1" min="6" max="6"/>
    <col width="36" customWidth="1" min="7" max="7"/>
    <col width="16" customWidth="1" min="8" max="8"/>
    <col width="12" customWidth="1" min="9" max="9"/>
    <col width="12" customWidth="1" min="10" max="10"/>
    <col width="27" customWidth="1" min="11" max="11"/>
    <col width="13" customWidth="1" min="12" max="12"/>
    <col width="13" customWidth="1" min="13" max="13"/>
    <col width="14" customWidth="1" min="14" max="14"/>
    <col width="18" customWidth="1" min="15" max="15"/>
  </cols>
  <sheetData>
    <row r="1">
      <c r="A1" s="1" t="inlineStr">
        <is>
          <t>End-to-End User Flows — golden paths</t>
        </is>
      </c>
    </row>
    <row r="2">
      <c r="A2" s="18" t="inlineStr">
        <is>
          <t>Flow ID</t>
        </is>
      </c>
      <c r="B2" s="18" t="inlineStr">
        <is>
          <t>Flow Name</t>
        </is>
      </c>
      <c r="C2" s="18" t="inlineStr">
        <is>
          <t>Portal</t>
        </is>
      </c>
      <c r="D2" s="18" t="inlineStr">
        <is>
          <t>Start Page</t>
        </is>
      </c>
      <c r="E2" s="18" t="inlineStr">
        <is>
          <t>End Page</t>
        </is>
      </c>
      <c r="F2" s="18" t="inlineStr">
        <is>
          <t>Steps</t>
        </is>
      </c>
      <c r="G2" s="18" t="inlineStr">
        <is>
          <t>Expected Outcome</t>
        </is>
      </c>
      <c r="H2" s="18" t="inlineStr">
        <is>
          <t>Actual Outcome</t>
        </is>
      </c>
      <c r="I2" s="18" t="inlineStr">
        <is>
          <t>Pass</t>
        </is>
      </c>
      <c r="J2" s="18" t="inlineStr">
        <is>
          <t>Risk</t>
        </is>
      </c>
      <c r="K2" s="18" t="inlineStr">
        <is>
          <t>Dependencies</t>
        </is>
      </c>
      <c r="L2" s="18" t="inlineStr">
        <is>
          <t>QA Owner</t>
        </is>
      </c>
      <c r="M2" s="18" t="inlineStr">
        <is>
          <t>Est Hours</t>
        </is>
      </c>
      <c r="N2" s="18" t="inlineStr">
        <is>
          <t>Actual Hours</t>
        </is>
      </c>
      <c r="O2" s="18" t="inlineStr">
        <is>
          <t>Comments</t>
        </is>
      </c>
    </row>
    <row r="3">
      <c r="A3" s="19" t="inlineStr">
        <is>
          <t>E2E-01</t>
        </is>
      </c>
      <c r="B3" s="19" t="inlineStr">
        <is>
          <t>Signup to Onboarding to Dashboard</t>
        </is>
      </c>
      <c r="C3" s="19" t="inlineStr">
        <is>
          <t>Auth Portal</t>
        </is>
      </c>
      <c r="D3" s="19" t="inlineStr">
        <is>
          <t>/signup</t>
        </is>
      </c>
      <c r="E3" s="19" t="inlineStr">
        <is>
          <t>/app/dashboard</t>
        </is>
      </c>
      <c r="F3" s="19" t="inlineStr">
        <is>
          <t>1. Sign up 2. Verify email 3. Complete 5 steps 4. Land dashboard</t>
        </is>
      </c>
      <c r="G3" s="19" t="inlineStr">
        <is>
          <t>Profile + onboarding_completed + starter credits</t>
        </is>
      </c>
      <c r="H3" s="19" t="inlineStr">
        <is>
          <t>OK on Staging</t>
        </is>
      </c>
      <c r="I3" s="19" t="inlineStr">
        <is>
          <t>Pass</t>
        </is>
      </c>
      <c r="J3" s="19" t="inlineStr">
        <is>
          <t>High</t>
        </is>
      </c>
      <c r="K3" s="19" t="inlineStr">
        <is>
          <t>Auth, Email</t>
        </is>
      </c>
      <c r="L3" s="19" t="inlineStr">
        <is>
          <t>Asha Sharma</t>
        </is>
      </c>
      <c r="M3" s="19" t="n">
        <v>3</v>
      </c>
      <c r="N3" s="19" t="n">
        <v>2.5</v>
      </c>
      <c r="O3" s="19" t="inlineStr"/>
    </row>
    <row r="4">
      <c r="A4" s="20" t="inlineStr">
        <is>
          <t>E2E-02</t>
        </is>
      </c>
      <c r="B4" s="20" t="inlineStr">
        <is>
          <t>Free to Pro Stripe checkout</t>
        </is>
      </c>
      <c r="C4" s="20" t="inlineStr">
        <is>
          <t>Candidate App</t>
        </is>
      </c>
      <c r="D4" s="20" t="inlineStr">
        <is>
          <t>/pricing</t>
        </is>
      </c>
      <c r="E4" s="20" t="inlineStr">
        <is>
          <t>/app/settings/billing</t>
        </is>
      </c>
      <c r="F4" s="20" t="inlineStr">
        <is>
          <t>1. Choose Pro 2. Stripe Checkout 3. Webhook 4. Open Billing</t>
        </is>
      </c>
      <c r="G4" s="20" t="inlineStr">
        <is>
          <t>plan=pro, credits granted, ledger entry</t>
        </is>
      </c>
      <c r="H4" s="20" t="inlineStr"/>
      <c r="I4" s="20" t="inlineStr">
        <is>
          <t>Not Run</t>
        </is>
      </c>
      <c r="J4" s="20" t="inlineStr">
        <is>
          <t>Critical</t>
        </is>
      </c>
      <c r="K4" s="20" t="inlineStr">
        <is>
          <t>Stripe test keys</t>
        </is>
      </c>
      <c r="L4" s="20" t="inlineStr">
        <is>
          <t>Asha Sharma</t>
        </is>
      </c>
      <c r="M4" s="20" t="n">
        <v>4</v>
      </c>
      <c r="N4" s="20" t="n">
        <v>0</v>
      </c>
      <c r="O4" s="20" t="inlineStr">
        <is>
          <t>Money path</t>
        </is>
      </c>
    </row>
    <row r="5">
      <c r="A5" s="19" t="inlineStr">
        <is>
          <t>E2E-03</t>
        </is>
      </c>
      <c r="B5" s="19" t="inlineStr">
        <is>
          <t>Live coach rehearsal</t>
        </is>
      </c>
      <c r="C5" s="19" t="inlineStr">
        <is>
          <t>Candidate App</t>
        </is>
      </c>
      <c r="D5" s="19" t="inlineStr">
        <is>
          <t>/app/live</t>
        </is>
      </c>
      <c r="E5" s="19" t="inlineStr">
        <is>
          <t>/app/sessions/:id</t>
        </is>
      </c>
      <c r="F5" s="19" t="inlineStr">
        <is>
          <t>1. Start 2. Audio 3. Generate answer 4. End 5. Debrief</t>
        </is>
      </c>
      <c r="G5" s="19" t="inlineStr">
        <is>
          <t>Session + transcript + debrief</t>
        </is>
      </c>
      <c r="H5" s="19" t="inlineStr">
        <is>
          <t>OK</t>
        </is>
      </c>
      <c r="I5" s="19" t="inlineStr">
        <is>
          <t>Pass</t>
        </is>
      </c>
      <c r="J5" s="19" t="inlineStr">
        <is>
          <t>Critical</t>
        </is>
      </c>
      <c r="K5" s="19" t="inlineStr">
        <is>
          <t>Deepgram, Gemini, Credits</t>
        </is>
      </c>
      <c r="L5" s="19" t="inlineStr">
        <is>
          <t>Priya Nair</t>
        </is>
      </c>
      <c r="M5" s="19" t="n">
        <v>5</v>
      </c>
      <c r="N5" s="19" t="n">
        <v>4</v>
      </c>
      <c r="O5" s="19" t="inlineStr"/>
    </row>
    <row r="6">
      <c r="A6" s="20" t="inlineStr">
        <is>
          <t>E2E-04</t>
        </is>
      </c>
      <c r="B6" s="20" t="inlineStr">
        <is>
          <t>Gov exam create to results</t>
        </is>
      </c>
      <c r="C6" s="20" t="inlineStr">
        <is>
          <t>Candidate App</t>
        </is>
      </c>
      <c r="D6" s="20" t="inlineStr">
        <is>
          <t>/app/mock-test</t>
        </is>
      </c>
      <c r="E6" s="20" t="inlineStr">
        <is>
          <t>/app/mock-test/results/:id</t>
        </is>
      </c>
      <c r="F6" s="20" t="inlineStr">
        <is>
          <t>1. Select exam 2. create-test 3. Answer 4. submit 5. Results</t>
        </is>
      </c>
      <c r="G6" s="20" t="inlineStr">
        <is>
          <t>Atomic score, no double submit</t>
        </is>
      </c>
      <c r="H6" s="20" t="inlineStr">
        <is>
          <t>OK</t>
        </is>
      </c>
      <c r="I6" s="20" t="inlineStr">
        <is>
          <t>Pass</t>
        </is>
      </c>
      <c r="J6" s="20" t="inlineStr">
        <is>
          <t>High</t>
        </is>
      </c>
      <c r="K6" s="20" t="inlineStr">
        <is>
          <t>Question bank</t>
        </is>
      </c>
      <c r="L6" s="20" t="inlineStr">
        <is>
          <t>Rohan Mehta</t>
        </is>
      </c>
      <c r="M6" s="20" t="n">
        <v>3.5</v>
      </c>
      <c r="N6" s="20" t="n">
        <v>3</v>
      </c>
      <c r="O6" s="20" t="inlineStr">
        <is>
          <t>Thin content</t>
        </is>
      </c>
    </row>
    <row r="7">
      <c r="A7" s="19" t="inlineStr">
        <is>
          <t>E2E-05</t>
        </is>
      </c>
      <c r="B7" s="19" t="inlineStr">
        <is>
          <t>Admin seed to candidate test</t>
        </is>
      </c>
      <c r="C7" s="19" t="inlineStr">
        <is>
          <t>Admin Portal</t>
        </is>
      </c>
      <c r="D7" s="19" t="inlineStr">
        <is>
          <t>/app/admin/seed-questions</t>
        </is>
      </c>
      <c r="E7" s="19" t="inlineStr">
        <is>
          <t>/app/mock-test</t>
        </is>
      </c>
      <c r="F7" s="19" t="inlineStr">
        <is>
          <t>1. Import questions 2. Candidate creates test</t>
        </is>
      </c>
      <c r="G7" s="19" t="inlineStr">
        <is>
          <t>Imported questions available</t>
        </is>
      </c>
      <c r="H7" s="19" t="inlineStr">
        <is>
          <t>Blocked</t>
        </is>
      </c>
      <c r="I7" s="19" t="inlineStr">
        <is>
          <t>Blocked</t>
        </is>
      </c>
      <c r="J7" s="19" t="inlineStr">
        <is>
          <t>High</t>
        </is>
      </c>
      <c r="K7" s="19" t="inlineStr">
        <is>
          <t>Admin, Gemini PDF</t>
        </is>
      </c>
      <c r="L7" s="19" t="inlineStr">
        <is>
          <t>Rohan Mehta</t>
        </is>
      </c>
      <c r="M7" s="19" t="n">
        <v>4</v>
      </c>
      <c r="N7" s="19" t="n">
        <v>1</v>
      </c>
      <c r="O7" s="19" t="inlineStr"/>
    </row>
    <row r="8">
      <c r="A8" s="20" t="inlineStr">
        <is>
          <t>E2E-06</t>
        </is>
      </c>
      <c r="B8" s="20" t="inlineStr">
        <is>
          <t>Electron overlay boot</t>
        </is>
      </c>
      <c r="C8" s="20" t="inlineStr">
        <is>
          <t>Electron Overlay</t>
        </is>
      </c>
      <c r="D8" s="20" t="inlineStr">
        <is>
          <t>Clarify AI.exe</t>
        </is>
      </c>
      <c r="E8" s="20" t="inlineStr">
        <is>
          <t>Overlay window</t>
        </is>
      </c>
      <c r="F8" s="20" t="inlineStr">
        <is>
          <t>1. Launch 2. Auth if needed 3. Overlay topmost 4. Hotkey</t>
        </is>
      </c>
      <c r="G8" s="20" t="inlineStr">
        <is>
          <t>Overlay-only shell</t>
        </is>
      </c>
      <c r="H8" s="20" t="inlineStr"/>
      <c r="I8" s="20" t="inlineStr">
        <is>
          <t>Not Run</t>
        </is>
      </c>
      <c r="J8" s="20" t="inlineStr">
        <is>
          <t>Critical</t>
        </is>
      </c>
      <c r="K8" s="20" t="inlineStr">
        <is>
          <t>Code signing deferred</t>
        </is>
      </c>
      <c r="L8" s="20" t="inlineStr">
        <is>
          <t>Dev Patel</t>
        </is>
      </c>
      <c r="M8" s="20" t="n">
        <v>3</v>
      </c>
      <c r="N8" s="20" t="n">
        <v>0</v>
      </c>
      <c r="O8" s="20" t="inlineStr">
        <is>
          <t>Unsigned beta OK</t>
        </is>
      </c>
    </row>
    <row r="9">
      <c r="A9" s="21" t="inlineStr">
        <is>
          <t>TOTAL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21">
        <f>SUM(M3:M8)</f>
        <v/>
      </c>
      <c r="N9" s="21">
        <f>SUM(N3:N8)</f>
        <v/>
      </c>
      <c r="O9" s="19" t="n"/>
    </row>
  </sheetData>
  <autoFilter ref="A2:O9"/>
  <mergeCells count="1">
    <mergeCell ref="A1:H1"/>
  </mergeCells>
  <conditionalFormatting sqref="I3:I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J3:J500">
    <cfRule type="cellIs" priority="18" operator="equal" dxfId="0">
      <formula>"Critical"</formula>
    </cfRule>
    <cfRule type="cellIs" priority="19" operator="equal" dxfId="1">
      <formula>"High"</formula>
    </cfRule>
    <cfRule type="cellIs" priority="20" operator="equal" dxfId="2">
      <formula>"Medium"</formula>
    </cfRule>
    <cfRule type="cellIs" priority="21" operator="equal" dxfId="3">
      <formula>"Low"</formula>
    </cfRule>
  </conditionalFormatting>
  <dataValidations count="4">
    <dataValidation sqref="C3:C5000" showDropDown="0" showInputMessage="0" showErrorMessage="0" allowBlank="1" errorTitle="Invalid" error="Pick a value from the list" type="list">
      <formula1>Lists!$AA$2:$AA$7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Lists!$L$2:$L$5</formula1>
    </dataValidation>
    <dataValidation sqref="L3:L5000" showDropDown="0" showInputMessage="0" showErrorMessage="0" allowBlank="1" errorTitle="Invalid" error="Pick a value from the list" type="list">
      <formula1>Lists!$AC$2:$AC$6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6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36" customWidth="1" min="3" max="3"/>
    <col width="26" customWidth="1" min="4" max="4"/>
    <col width="28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3" customWidth="1" min="13" max="13"/>
    <col width="13" customWidth="1" min="14" max="14"/>
    <col width="12" customWidth="1" min="15" max="15"/>
    <col width="12" customWidth="1" min="16" max="16"/>
    <col width="13" customWidth="1" min="17" max="17"/>
    <col width="12" customWidth="1" min="18" max="18"/>
    <col width="12" customWidth="1" min="19" max="19"/>
    <col width="15" customWidth="1" min="20" max="20"/>
    <col width="36" customWidth="1" min="21" max="21"/>
    <col width="17" customWidth="1" min="22" max="22"/>
    <col width="12" customWidth="1" min="23" max="23"/>
    <col width="27" customWidth="1" min="24" max="24"/>
  </cols>
  <sheetData>
    <row r="1">
      <c r="A1" s="1" t="inlineStr">
        <is>
          <t>Bug Tracker — audit defect register + open issues (58 bugs)</t>
        </is>
      </c>
    </row>
    <row r="2">
      <c r="A2" s="18" t="inlineStr">
        <is>
          <t>Bug ID</t>
        </is>
      </c>
      <c r="B2" s="18" t="inlineStr">
        <is>
          <t>Title</t>
        </is>
      </c>
      <c r="C2" s="18" t="inlineStr">
        <is>
          <t>Description</t>
        </is>
      </c>
      <c r="D2" s="18" t="inlineStr">
        <is>
          <t>Module</t>
        </is>
      </c>
      <c r="E2" s="18" t="inlineStr">
        <is>
          <t>Feature</t>
        </is>
      </c>
      <c r="F2" s="18" t="inlineStr">
        <is>
          <t>Environment</t>
        </is>
      </c>
      <c r="G2" s="18" t="inlineStr">
        <is>
          <t>Browser</t>
        </is>
      </c>
      <c r="H2" s="18" t="inlineStr">
        <is>
          <t>Device</t>
        </is>
      </c>
      <c r="I2" s="18" t="inlineStr">
        <is>
          <t>OS</t>
        </is>
      </c>
      <c r="J2" s="18" t="inlineStr">
        <is>
          <t>Severity</t>
        </is>
      </c>
      <c r="K2" s="18" t="inlineStr">
        <is>
          <t>Priority</t>
        </is>
      </c>
      <c r="L2" s="18" t="inlineStr">
        <is>
          <t>Status</t>
        </is>
      </c>
      <c r="M2" s="18" t="inlineStr">
        <is>
          <t>Assigned To</t>
        </is>
      </c>
      <c r="N2" s="18" t="inlineStr">
        <is>
          <t>Reported By</t>
        </is>
      </c>
      <c r="O2" s="18" t="inlineStr">
        <is>
          <t>Found Date</t>
        </is>
      </c>
      <c r="P2" s="18" t="inlineStr">
        <is>
          <t>Fixed Date</t>
        </is>
      </c>
      <c r="Q2" s="18" t="inlineStr">
        <is>
          <t>Retest Date</t>
        </is>
      </c>
      <c r="R2" s="18" t="inlineStr">
        <is>
          <t>Build</t>
        </is>
      </c>
      <c r="S2" s="18" t="inlineStr">
        <is>
          <t>Sprint</t>
        </is>
      </c>
      <c r="T2" s="18" t="inlineStr">
        <is>
          <t>Root Cause</t>
        </is>
      </c>
      <c r="U2" s="18" t="inlineStr">
        <is>
          <t>Resolution</t>
        </is>
      </c>
      <c r="V2" s="18" t="inlineStr">
        <is>
          <t>Screenshot Link</t>
        </is>
      </c>
      <c r="W2" s="18" t="inlineStr">
        <is>
          <t>Video Link</t>
        </is>
      </c>
      <c r="X2" s="18" t="inlineStr">
        <is>
          <t>Comments</t>
        </is>
      </c>
    </row>
    <row r="3">
      <c r="A3" s="19" t="inlineStr">
        <is>
          <t>BUG-P0-01</t>
        </is>
      </c>
      <c r="B3" s="19" t="inlineStr">
        <is>
          <t>Max/enterprise Stripe price IDs missing</t>
        </is>
      </c>
      <c r="C3" s="19" t="inlineStr">
        <is>
          <t>PLANS.enterprise lacked stripePriceIdMonthly/Yearly so Max checkout failed</t>
        </is>
      </c>
      <c r="D3" s="19" t="inlineStr">
        <is>
          <t>Billing &amp; Credits</t>
        </is>
      </c>
      <c r="E3" s="19" t="inlineStr">
        <is>
          <t>Stripe checkout + webhooks</t>
        </is>
      </c>
      <c r="F3" s="19" t="inlineStr">
        <is>
          <t>Staging</t>
        </is>
      </c>
      <c r="G3" s="19" t="inlineStr">
        <is>
          <t>Chrome</t>
        </is>
      </c>
      <c r="H3" s="19" t="inlineStr">
        <is>
          <t>Desktop</t>
        </is>
      </c>
      <c r="I3" s="19" t="inlineStr">
        <is>
          <t>Windows</t>
        </is>
      </c>
      <c r="J3" s="19" t="inlineStr">
        <is>
          <t>Critical</t>
        </is>
      </c>
      <c r="K3" s="19" t="inlineStr">
        <is>
          <t>Critical</t>
        </is>
      </c>
      <c r="L3" s="19" t="inlineStr">
        <is>
          <t>Closed</t>
        </is>
      </c>
      <c r="M3" s="19" t="inlineStr">
        <is>
          <t>Billing</t>
        </is>
      </c>
      <c r="N3" s="19" t="inlineStr">
        <is>
          <t>Asha Sharma</t>
        </is>
      </c>
      <c r="O3" s="22" t="n">
        <v>46212</v>
      </c>
      <c r="P3" s="22" t="n">
        <v>46230</v>
      </c>
      <c r="Q3" s="22" t="n">
        <v>46231</v>
      </c>
      <c r="R3" s="19" t="inlineStr">
        <is>
          <t>1.0.0</t>
        </is>
      </c>
      <c r="S3" s="19" t="inlineStr">
        <is>
          <t>Sprint 26</t>
        </is>
      </c>
      <c r="T3" s="19" t="inlineStr">
        <is>
          <t>Config/Env</t>
        </is>
      </c>
      <c r="U3" s="19" t="inlineStr">
        <is>
          <t>Wired ENV.STRIPE_PRICE_ENTERPRISE_*</t>
        </is>
      </c>
      <c r="V3" s="19" t="inlineStr"/>
      <c r="W3" s="19" t="inlineStr"/>
      <c r="X3" s="19" t="inlineStr">
        <is>
          <t>P0-1 FIXED in hardening</t>
        </is>
      </c>
    </row>
    <row r="4">
      <c r="A4" s="20" t="inlineStr">
        <is>
          <t>BUG-P0-02</t>
        </is>
      </c>
      <c r="B4" s="20" t="inlineStr">
        <is>
          <t>invoice.payment_failed wiped credits to 50</t>
        </is>
      </c>
      <c r="C4" s="20" t="inlineStr">
        <is>
          <t>Absolute credits overwrite destroyed purchased packs</t>
        </is>
      </c>
      <c r="D4" s="20" t="inlineStr">
        <is>
          <t>Billing &amp; Credits</t>
        </is>
      </c>
      <c r="E4" s="20" t="inlineStr">
        <is>
          <t>Stripe checkout + webhooks</t>
        </is>
      </c>
      <c r="F4" s="20" t="inlineStr">
        <is>
          <t>Staging</t>
        </is>
      </c>
      <c r="G4" s="20" t="inlineStr">
        <is>
          <t>N/A</t>
        </is>
      </c>
      <c r="H4" s="20" t="inlineStr">
        <is>
          <t>Desktop</t>
        </is>
      </c>
      <c r="I4" s="20" t="inlineStr">
        <is>
          <t>Windows</t>
        </is>
      </c>
      <c r="J4" s="20" t="inlineStr">
        <is>
          <t>Critical</t>
        </is>
      </c>
      <c r="K4" s="20" t="inlineStr">
        <is>
          <t>Critical</t>
        </is>
      </c>
      <c r="L4" s="20" t="inlineStr">
        <is>
          <t>Closed</t>
        </is>
      </c>
      <c r="M4" s="20" t="inlineStr">
        <is>
          <t>Billing</t>
        </is>
      </c>
      <c r="N4" s="20" t="inlineStr">
        <is>
          <t>Dev Patel</t>
        </is>
      </c>
      <c r="O4" s="23" t="n">
        <v>46212</v>
      </c>
      <c r="P4" s="23" t="n">
        <v>46230</v>
      </c>
      <c r="Q4" s="23" t="n">
        <v>46231</v>
      </c>
      <c r="R4" s="20" t="inlineStr">
        <is>
          <t>1.0.0</t>
        </is>
      </c>
      <c r="S4" s="20" t="inlineStr">
        <is>
          <t>Sprint 26</t>
        </is>
      </c>
      <c r="T4" s="20" t="inlineStr">
        <is>
          <t>Logic Bug</t>
        </is>
      </c>
      <c r="U4" s="20" t="inlineStr">
        <is>
          <t>Stop writing credits on payment_failed</t>
        </is>
      </c>
      <c r="V4" s="20" t="inlineStr"/>
      <c r="W4" s="20" t="inlineStr"/>
      <c r="X4" s="20" t="inlineStr">
        <is>
          <t>P0-2 FIXED</t>
        </is>
      </c>
    </row>
    <row r="5">
      <c r="A5" s="19" t="inlineStr">
        <is>
          <t>BUG-P0-03</t>
        </is>
      </c>
      <c r="B5" s="19" t="inlineStr">
        <is>
          <t>Server plan gating was a no-op</t>
        </is>
      </c>
      <c r="C5" s="19" t="inlineStr">
        <is>
          <t>starter rank 0 = free; requirePlan starter never blocked</t>
        </is>
      </c>
      <c r="D5" s="19" t="inlineStr">
        <is>
          <t>Billing &amp; Credits</t>
        </is>
      </c>
      <c r="E5" s="19" t="inlineStr">
        <is>
          <t>Plan gating enforcement</t>
        </is>
      </c>
      <c r="F5" s="19" t="inlineStr">
        <is>
          <t>Staging</t>
        </is>
      </c>
      <c r="G5" s="19" t="inlineStr">
        <is>
          <t>Chrome</t>
        </is>
      </c>
      <c r="H5" s="19" t="inlineStr">
        <is>
          <t>Desktop</t>
        </is>
      </c>
      <c r="I5" s="19" t="inlineStr">
        <is>
          <t>Windows</t>
        </is>
      </c>
      <c r="J5" s="19" t="inlineStr">
        <is>
          <t>Critical</t>
        </is>
      </c>
      <c r="K5" s="19" t="inlineStr">
        <is>
          <t>Critical</t>
        </is>
      </c>
      <c r="L5" s="19" t="inlineStr">
        <is>
          <t>Closed</t>
        </is>
      </c>
      <c r="M5" s="19" t="inlineStr">
        <is>
          <t>Billing</t>
        </is>
      </c>
      <c r="N5" s="19" t="inlineStr">
        <is>
          <t>Dev Patel</t>
        </is>
      </c>
      <c r="O5" s="22" t="n">
        <v>46212</v>
      </c>
      <c r="P5" s="22" t="n">
        <v>46230</v>
      </c>
      <c r="Q5" s="22" t="n">
        <v>46231</v>
      </c>
      <c r="R5" s="19" t="inlineStr">
        <is>
          <t>1.0.0</t>
        </is>
      </c>
      <c r="S5" s="19" t="inlineStr">
        <is>
          <t>Sprint 26</t>
        </is>
      </c>
      <c r="T5" s="19" t="inlineStr">
        <is>
          <t>Logic Bug</t>
        </is>
      </c>
      <c r="U5" s="19" t="inlineStr">
        <is>
          <t>Remap starter→pro; rebuild CAPABILITY_MIN_RANK</t>
        </is>
      </c>
      <c r="V5" s="19" t="inlineStr"/>
      <c r="W5" s="19" t="inlineStr"/>
      <c r="X5" s="19" t="inlineStr">
        <is>
          <t>P0-3 FIXED</t>
        </is>
      </c>
    </row>
    <row r="6">
      <c r="A6" s="20" t="inlineStr">
        <is>
          <t>BUG-P0-04</t>
        </is>
      </c>
      <c r="B6" s="20" t="inlineStr">
        <is>
          <t>AI parse endpoints free forever</t>
        </is>
      </c>
      <c r="C6" s="20" t="inlineStr">
        <is>
          <t>parse-resume/gap-analysis/parse-document never deducted</t>
        </is>
      </c>
      <c r="D6" s="20" t="inlineStr">
        <is>
          <t>Documents &amp; Resumes</t>
        </is>
      </c>
      <c r="E6" s="20" t="inlineStr">
        <is>
          <t>Resume upload + AI parse</t>
        </is>
      </c>
      <c r="F6" s="20" t="inlineStr">
        <is>
          <t>Staging</t>
        </is>
      </c>
      <c r="G6" s="20" t="inlineStr">
        <is>
          <t>Chrome</t>
        </is>
      </c>
      <c r="H6" s="20" t="inlineStr">
        <is>
          <t>Desktop</t>
        </is>
      </c>
      <c r="I6" s="20" t="inlineStr">
        <is>
          <t>Windows</t>
        </is>
      </c>
      <c r="J6" s="20" t="inlineStr">
        <is>
          <t>Critical</t>
        </is>
      </c>
      <c r="K6" s="20" t="inlineStr">
        <is>
          <t>Critical</t>
        </is>
      </c>
      <c r="L6" s="20" t="inlineStr">
        <is>
          <t>Closed</t>
        </is>
      </c>
      <c r="M6" s="20" t="inlineStr">
        <is>
          <t>Docs</t>
        </is>
      </c>
      <c r="N6" s="20" t="inlineStr">
        <is>
          <t>Priya Nair</t>
        </is>
      </c>
      <c r="O6" s="23" t="n">
        <v>46212</v>
      </c>
      <c r="P6" s="23" t="n">
        <v>46230</v>
      </c>
      <c r="Q6" s="23" t="n">
        <v>46231</v>
      </c>
      <c r="R6" s="20" t="inlineStr">
        <is>
          <t>1.0.0</t>
        </is>
      </c>
      <c r="S6" s="20" t="inlineStr">
        <is>
          <t>Sprint 26</t>
        </is>
      </c>
      <c r="T6" s="20" t="inlineStr">
        <is>
          <t>Logic Bug</t>
        </is>
      </c>
      <c r="U6" s="20" t="inlineStr">
        <is>
          <t>deductCreditsAtomic + free first onboarding</t>
        </is>
      </c>
      <c r="V6" s="20" t="inlineStr"/>
      <c r="W6" s="20" t="inlineStr"/>
      <c r="X6" s="20" t="inlineStr">
        <is>
          <t>P0-4 FIXED</t>
        </is>
      </c>
    </row>
    <row r="7">
      <c r="A7" s="19" t="inlineStr">
        <is>
          <t>BUG-P0-05</t>
        </is>
      </c>
      <c r="B7" s="19" t="inlineStr">
        <is>
          <t>.env.production committed + release-new unignored</t>
        </is>
      </c>
      <c r="C7" s="19" t="inlineStr">
        <is>
          <t>Secrets/artifacts exposure risk</t>
        </is>
      </c>
      <c r="D7" s="19" t="inlineStr">
        <is>
          <t>Security &amp; Platform</t>
        </is>
      </c>
      <c r="E7" s="19" t="inlineStr">
        <is>
          <t>CI validate-env</t>
        </is>
      </c>
      <c r="F7" s="19" t="inlineStr">
        <is>
          <t>Production</t>
        </is>
      </c>
      <c r="G7" s="19" t="inlineStr">
        <is>
          <t>N/A</t>
        </is>
      </c>
      <c r="H7" s="19" t="inlineStr">
        <is>
          <t>Desktop</t>
        </is>
      </c>
      <c r="I7" s="19" t="inlineStr">
        <is>
          <t>Windows</t>
        </is>
      </c>
      <c r="J7" s="19" t="inlineStr">
        <is>
          <t>Critical</t>
        </is>
      </c>
      <c r="K7" s="19" t="inlineStr">
        <is>
          <t>Critical</t>
        </is>
      </c>
      <c r="L7" s="19" t="inlineStr">
        <is>
          <t>Closed</t>
        </is>
      </c>
      <c r="M7" s="19" t="inlineStr">
        <is>
          <t>Platform</t>
        </is>
      </c>
      <c r="N7" s="19" t="inlineStr">
        <is>
          <t>Dev Patel</t>
        </is>
      </c>
      <c r="O7" s="22" t="n">
        <v>46212</v>
      </c>
      <c r="P7" s="22" t="n">
        <v>46230</v>
      </c>
      <c r="Q7" s="19" t="inlineStr"/>
      <c r="R7" s="19" t="inlineStr">
        <is>
          <t>1.0.0</t>
        </is>
      </c>
      <c r="S7" s="19" t="inlineStr">
        <is>
          <t>Sprint 26</t>
        </is>
      </c>
      <c r="T7" s="19" t="inlineStr">
        <is>
          <t>Config/Env</t>
        </is>
      </c>
      <c r="U7" s="19" t="inlineStr">
        <is>
          <t>git rm --cached; gitignore; example file</t>
        </is>
      </c>
      <c r="V7" s="19" t="inlineStr"/>
      <c r="W7" s="19" t="inlineStr"/>
      <c r="X7" s="19" t="inlineStr">
        <is>
          <t>Rotate anon key still OPS</t>
        </is>
      </c>
    </row>
    <row r="8">
      <c r="A8" s="20" t="inlineStr">
        <is>
          <t>BUG-P0-06</t>
        </is>
      </c>
      <c r="B8" s="20" t="inlineStr">
        <is>
          <t>Admin revenue treated credits as money</t>
        </is>
      </c>
      <c r="C8" s="20" t="inlineStr">
        <is>
          <t>monthlyRevenueByPlan summed credit_transactions</t>
        </is>
      </c>
      <c r="D8" s="20" t="inlineStr">
        <is>
          <t>Admin Portal</t>
        </is>
      </c>
      <c r="E8" s="20" t="inlineStr">
        <is>
          <t>Admin revenue</t>
        </is>
      </c>
      <c r="F8" s="20" t="inlineStr">
        <is>
          <t>Staging</t>
        </is>
      </c>
      <c r="G8" s="20" t="inlineStr">
        <is>
          <t>Chrome</t>
        </is>
      </c>
      <c r="H8" s="20" t="inlineStr">
        <is>
          <t>Desktop</t>
        </is>
      </c>
      <c r="I8" s="20" t="inlineStr">
        <is>
          <t>Windows</t>
        </is>
      </c>
      <c r="J8" s="20" t="inlineStr">
        <is>
          <t>Critical</t>
        </is>
      </c>
      <c r="K8" s="20" t="inlineStr">
        <is>
          <t>Critical</t>
        </is>
      </c>
      <c r="L8" s="20" t="inlineStr">
        <is>
          <t>Closed</t>
        </is>
      </c>
      <c r="M8" s="20" t="inlineStr">
        <is>
          <t>Admin</t>
        </is>
      </c>
      <c r="N8" s="20" t="inlineStr">
        <is>
          <t>Rohan Mehta</t>
        </is>
      </c>
      <c r="O8" s="23" t="n">
        <v>46212</v>
      </c>
      <c r="P8" s="23" t="n">
        <v>46230</v>
      </c>
      <c r="Q8" s="23" t="n">
        <v>46231</v>
      </c>
      <c r="R8" s="20" t="inlineStr">
        <is>
          <t>1.0.0</t>
        </is>
      </c>
      <c r="S8" s="20" t="inlineStr">
        <is>
          <t>Sprint 26</t>
        </is>
      </c>
      <c r="T8" s="20" t="inlineStr">
        <is>
          <t>Logic Bug</t>
        </is>
      </c>
      <c r="U8" s="20" t="inlineStr">
        <is>
          <t>Subscriptions x prices + INR separate</t>
        </is>
      </c>
      <c r="V8" s="20" t="inlineStr"/>
      <c r="W8" s="20" t="inlineStr"/>
      <c r="X8" s="20" t="inlineStr">
        <is>
          <t>P0-6 FIXED</t>
        </is>
      </c>
    </row>
    <row r="9">
      <c r="A9" s="19" t="inlineStr">
        <is>
          <t>BUG-P1-01</t>
        </is>
      </c>
      <c r="B9" s="19" t="inlineStr">
        <is>
          <t>Interview dates Invalid Date</t>
        </is>
      </c>
      <c r="C9" s="19" t="inlineStr">
        <is>
          <t>UI read scheduled_at; store has next_round.scheduled_at</t>
        </is>
      </c>
      <c r="D9" s="19" t="inlineStr">
        <is>
          <t>Interviews &amp; Calendar</t>
        </is>
      </c>
      <c r="E9" s="19" t="inlineStr">
        <is>
          <t>Manual interview CRUD</t>
        </is>
      </c>
      <c r="F9" s="19" t="inlineStr">
        <is>
          <t>Staging</t>
        </is>
      </c>
      <c r="G9" s="19" t="inlineStr">
        <is>
          <t>Chrome</t>
        </is>
      </c>
      <c r="H9" s="19" t="inlineStr">
        <is>
          <t>Desktop</t>
        </is>
      </c>
      <c r="I9" s="19" t="inlineStr">
        <is>
          <t>Windows</t>
        </is>
      </c>
      <c r="J9" s="19" t="inlineStr">
        <is>
          <t>High</t>
        </is>
      </c>
      <c r="K9" s="19" t="inlineStr">
        <is>
          <t>High</t>
        </is>
      </c>
      <c r="L9" s="19" t="inlineStr">
        <is>
          <t>Closed</t>
        </is>
      </c>
      <c r="M9" s="19" t="inlineStr">
        <is>
          <t>Scheduling</t>
        </is>
      </c>
      <c r="N9" s="19" t="inlineStr">
        <is>
          <t>Rohan Mehta</t>
        </is>
      </c>
      <c r="O9" s="22" t="n">
        <v>46217</v>
      </c>
      <c r="P9" s="22" t="n">
        <v>46230</v>
      </c>
      <c r="Q9" s="22" t="n">
        <v>46231</v>
      </c>
      <c r="R9" s="19" t="inlineStr">
        <is>
          <t>1.0.0</t>
        </is>
      </c>
      <c r="S9" s="19" t="inlineStr">
        <is>
          <t>Sprint 26</t>
        </is>
      </c>
      <c r="T9" s="19" t="inlineStr">
        <is>
          <t>Logic Bug</t>
        </is>
      </c>
      <c r="U9" s="19" t="inlineStr">
        <is>
          <t>roundHelpers next_round</t>
        </is>
      </c>
      <c r="V9" s="19" t="inlineStr"/>
      <c r="W9" s="19" t="inlineStr"/>
      <c r="X9" s="19" t="inlineStr">
        <is>
          <t>P1-1 FIXED</t>
        </is>
      </c>
    </row>
    <row r="10">
      <c r="A10" s="20" t="inlineStr">
        <is>
          <t>BUG-P1-02</t>
        </is>
      </c>
      <c r="B10" s="20" t="inlineStr">
        <is>
          <t>Profile streak always 0</t>
        </is>
      </c>
      <c r="C10" s="20" t="inlineStr">
        <is>
          <t>Read streak_current; column is streak_days</t>
        </is>
      </c>
      <c r="D10" s="20" t="inlineStr">
        <is>
          <t>Notifications &amp; Profile</t>
        </is>
      </c>
      <c r="E10" s="20" t="inlineStr">
        <is>
          <t>Profile page display</t>
        </is>
      </c>
      <c r="F10" s="20" t="inlineStr">
        <is>
          <t>Staging</t>
        </is>
      </c>
      <c r="G10" s="20" t="inlineStr">
        <is>
          <t>Chrome</t>
        </is>
      </c>
      <c r="H10" s="20" t="inlineStr">
        <is>
          <t>Desktop</t>
        </is>
      </c>
      <c r="I10" s="20" t="inlineStr">
        <is>
          <t>Windows</t>
        </is>
      </c>
      <c r="J10" s="20" t="inlineStr">
        <is>
          <t>High</t>
        </is>
      </c>
      <c r="K10" s="20" t="inlineStr">
        <is>
          <t>High</t>
        </is>
      </c>
      <c r="L10" s="20" t="inlineStr">
        <is>
          <t>Closed</t>
        </is>
      </c>
      <c r="M10" s="20" t="inlineStr">
        <is>
          <t>Growth</t>
        </is>
      </c>
      <c r="N10" s="20" t="inlineStr">
        <is>
          <t>Rohan Mehta</t>
        </is>
      </c>
      <c r="O10" s="23" t="n">
        <v>46217</v>
      </c>
      <c r="P10" s="23" t="n">
        <v>46230</v>
      </c>
      <c r="Q10" s="23" t="n">
        <v>46231</v>
      </c>
      <c r="R10" s="20" t="inlineStr">
        <is>
          <t>1.0.0</t>
        </is>
      </c>
      <c r="S10" s="20" t="inlineStr">
        <is>
          <t>Sprint 26</t>
        </is>
      </c>
      <c r="T10" s="20" t="inlineStr">
        <is>
          <t>Logic Bug</t>
        </is>
      </c>
      <c r="U10" s="20" t="inlineStr">
        <is>
          <t>Use streak_days</t>
        </is>
      </c>
      <c r="V10" s="20" t="inlineStr"/>
      <c r="W10" s="20" t="inlineStr"/>
      <c r="X10" s="20" t="inlineStr">
        <is>
          <t>P1-2 FIXED</t>
        </is>
      </c>
    </row>
    <row r="11">
      <c r="A11" s="19" t="inlineStr">
        <is>
          <t>BUG-P1-03</t>
        </is>
      </c>
      <c r="B11" s="19" t="inlineStr">
        <is>
          <t>Profile badge count wrong</t>
        </is>
      </c>
      <c r="C11" s="19" t="inlineStr">
        <is>
          <t>Read profile.badges; badges in user_badges</t>
        </is>
      </c>
      <c r="D11" s="19" t="inlineStr">
        <is>
          <t>Notifications &amp; Profile</t>
        </is>
      </c>
      <c r="E11" s="19" t="inlineStr">
        <is>
          <t>Gamification XP/streak</t>
        </is>
      </c>
      <c r="F11" s="19" t="inlineStr">
        <is>
          <t>Staging</t>
        </is>
      </c>
      <c r="G11" s="19" t="inlineStr">
        <is>
          <t>Chrome</t>
        </is>
      </c>
      <c r="H11" s="19" t="inlineStr">
        <is>
          <t>Desktop</t>
        </is>
      </c>
      <c r="I11" s="19" t="inlineStr">
        <is>
          <t>Windows</t>
        </is>
      </c>
      <c r="J11" s="19" t="inlineStr">
        <is>
          <t>High</t>
        </is>
      </c>
      <c r="K11" s="19" t="inlineStr">
        <is>
          <t>Medium</t>
        </is>
      </c>
      <c r="L11" s="19" t="inlineStr">
        <is>
          <t>Closed</t>
        </is>
      </c>
      <c r="M11" s="19" t="inlineStr">
        <is>
          <t>Growth</t>
        </is>
      </c>
      <c r="N11" s="19" t="inlineStr">
        <is>
          <t>Rohan Mehta</t>
        </is>
      </c>
      <c r="O11" s="22" t="n">
        <v>46217</v>
      </c>
      <c r="P11" s="22" t="n">
        <v>46230</v>
      </c>
      <c r="Q11" s="22" t="n">
        <v>46231</v>
      </c>
      <c r="R11" s="19" t="inlineStr">
        <is>
          <t>1.0.0</t>
        </is>
      </c>
      <c r="S11" s="19" t="inlineStr">
        <is>
          <t>Sprint 26</t>
        </is>
      </c>
      <c r="T11" s="19" t="inlineStr">
        <is>
          <t>Logic Bug</t>
        </is>
      </c>
      <c r="U11" s="19" t="inlineStr">
        <is>
          <t>unlockedBadges from user_badges</t>
        </is>
      </c>
      <c r="V11" s="19" t="inlineStr"/>
      <c r="W11" s="19" t="inlineStr"/>
      <c r="X11" s="19" t="inlineStr">
        <is>
          <t>P1-3 FIXED</t>
        </is>
      </c>
    </row>
    <row r="12">
      <c r="A12" s="20" t="inlineStr">
        <is>
          <t>BUG-P1-04</t>
        </is>
      </c>
      <c r="B12" s="20" t="inlineStr">
        <is>
          <t>Blank page on unknown /app route</t>
        </is>
      </c>
      <c r="C12" s="20" t="inlineStr">
        <is>
          <t>No splat NotFound under AppShell</t>
        </is>
      </c>
      <c r="D12" s="20" t="inlineStr">
        <is>
          <t>Dashboard</t>
        </is>
      </c>
      <c r="E12" s="20" t="inlineStr">
        <is>
          <t>In-app 404 NotFound</t>
        </is>
      </c>
      <c r="F12" s="20" t="inlineStr">
        <is>
          <t>Staging</t>
        </is>
      </c>
      <c r="G12" s="20" t="inlineStr">
        <is>
          <t>Chrome</t>
        </is>
      </c>
      <c r="H12" s="20" t="inlineStr">
        <is>
          <t>Desktop</t>
        </is>
      </c>
      <c r="I12" s="20" t="inlineStr">
        <is>
          <t>Windows</t>
        </is>
      </c>
      <c r="J12" s="20" t="inlineStr">
        <is>
          <t>Medium</t>
        </is>
      </c>
      <c r="K12" s="20" t="inlineStr">
        <is>
          <t>High</t>
        </is>
      </c>
      <c r="L12" s="20" t="inlineStr">
        <is>
          <t>Closed</t>
        </is>
      </c>
      <c r="M12" s="20" t="inlineStr">
        <is>
          <t>Product</t>
        </is>
      </c>
      <c r="N12" s="20" t="inlineStr">
        <is>
          <t>Asha Sharma</t>
        </is>
      </c>
      <c r="O12" s="23" t="n">
        <v>46217</v>
      </c>
      <c r="P12" s="23" t="n">
        <v>46230</v>
      </c>
      <c r="Q12" s="23" t="n">
        <v>46231</v>
      </c>
      <c r="R12" s="20" t="inlineStr">
        <is>
          <t>1.0.0</t>
        </is>
      </c>
      <c r="S12" s="20" t="inlineStr">
        <is>
          <t>Sprint 26</t>
        </is>
      </c>
      <c r="T12" s="20" t="inlineStr">
        <is>
          <t>Logic Bug</t>
        </is>
      </c>
      <c r="U12" s="20" t="inlineStr">
        <is>
          <t>path * → NotFound</t>
        </is>
      </c>
      <c r="V12" s="20" t="inlineStr"/>
      <c r="W12" s="20" t="inlineStr"/>
      <c r="X12" s="20" t="inlineStr">
        <is>
          <t>P1-4 FIXED</t>
        </is>
      </c>
    </row>
    <row r="13">
      <c r="A13" s="19" t="inlineStr">
        <is>
          <t>BUG-P1-05</t>
        </is>
      </c>
      <c r="B13" s="19" t="inlineStr">
        <is>
          <t>Admin exam filter returns nothing</t>
        </is>
      </c>
      <c r="C13" s="19" t="inlineStr">
        <is>
          <t>JEE_MAIN vs JEE Main mismatch</t>
        </is>
      </c>
      <c r="D13" s="19" t="inlineStr">
        <is>
          <t>Admin Portal</t>
        </is>
      </c>
      <c r="E13" s="19" t="inlineStr">
        <is>
          <t>Admin question editor</t>
        </is>
      </c>
      <c r="F13" s="19" t="inlineStr">
        <is>
          <t>Staging</t>
        </is>
      </c>
      <c r="G13" s="19" t="inlineStr">
        <is>
          <t>Chrome</t>
        </is>
      </c>
      <c r="H13" s="19" t="inlineStr">
        <is>
          <t>Desktop</t>
        </is>
      </c>
      <c r="I13" s="19" t="inlineStr">
        <is>
          <t>Windows</t>
        </is>
      </c>
      <c r="J13" s="19" t="inlineStr">
        <is>
          <t>High</t>
        </is>
      </c>
      <c r="K13" s="19" t="inlineStr">
        <is>
          <t>High</t>
        </is>
      </c>
      <c r="L13" s="19" t="inlineStr">
        <is>
          <t>Closed</t>
        </is>
      </c>
      <c r="M13" s="19" t="inlineStr">
        <is>
          <t>Admin</t>
        </is>
      </c>
      <c r="N13" s="19" t="inlineStr">
        <is>
          <t>Rohan Mehta</t>
        </is>
      </c>
      <c r="O13" s="22" t="n">
        <v>46217</v>
      </c>
      <c r="P13" s="22" t="n">
        <v>46230</v>
      </c>
      <c r="Q13" s="22" t="n">
        <v>46231</v>
      </c>
      <c r="R13" s="19" t="inlineStr">
        <is>
          <t>1.0.0</t>
        </is>
      </c>
      <c r="S13" s="19" t="inlineStr">
        <is>
          <t>Sprint 26</t>
        </is>
      </c>
      <c r="T13" s="19" t="inlineStr">
        <is>
          <t>Logic Bug</t>
        </is>
      </c>
      <c r="U13" s="19" t="inlineStr">
        <is>
          <t>Display string map</t>
        </is>
      </c>
      <c r="V13" s="19" t="inlineStr"/>
      <c r="W13" s="19" t="inlineStr"/>
      <c r="X13" s="19" t="inlineStr">
        <is>
          <t>P1-5 FIXED</t>
        </is>
      </c>
    </row>
    <row r="14">
      <c r="A14" s="20" t="inlineStr">
        <is>
          <t>BUG-P1-06</t>
        </is>
      </c>
      <c r="B14" s="20" t="inlineStr">
        <is>
          <t>Hotkey Ctrl+Shift+C collision</t>
        </is>
      </c>
      <c r="C14" s="20" t="inlineStr">
        <is>
          <t>MockSession vs overlay capture</t>
        </is>
      </c>
      <c r="D14" s="20" t="inlineStr">
        <is>
          <t>Mock Interview</t>
        </is>
      </c>
      <c r="E14" s="20" t="inlineStr">
        <is>
          <t>Mock interview session</t>
        </is>
      </c>
      <c r="F14" s="20" t="inlineStr">
        <is>
          <t>Electron Dev</t>
        </is>
      </c>
      <c r="G14" s="20" t="inlineStr">
        <is>
          <t>Electron</t>
        </is>
      </c>
      <c r="H14" s="20" t="inlineStr">
        <is>
          <t>Laptop</t>
        </is>
      </c>
      <c r="I14" s="20" t="inlineStr">
        <is>
          <t>Windows</t>
        </is>
      </c>
      <c r="J14" s="20" t="inlineStr">
        <is>
          <t>High</t>
        </is>
      </c>
      <c r="K14" s="20" t="inlineStr">
        <is>
          <t>High</t>
        </is>
      </c>
      <c r="L14" s="20" t="inlineStr">
        <is>
          <t>Closed</t>
        </is>
      </c>
      <c r="M14" s="20" t="inlineStr">
        <is>
          <t>Desktop</t>
        </is>
      </c>
      <c r="N14" s="20" t="inlineStr">
        <is>
          <t>Dev Patel</t>
        </is>
      </c>
      <c r="O14" s="23" t="n">
        <v>46217</v>
      </c>
      <c r="P14" s="23" t="n">
        <v>46230</v>
      </c>
      <c r="Q14" s="23" t="n">
        <v>46231</v>
      </c>
      <c r="R14" s="20" t="inlineStr">
        <is>
          <t>1.0.0</t>
        </is>
      </c>
      <c r="S14" s="20" t="inlineStr">
        <is>
          <t>Sprint 26</t>
        </is>
      </c>
      <c r="T14" s="20" t="inlineStr">
        <is>
          <t>Logic Bug</t>
        </is>
      </c>
      <c r="U14" s="20" t="inlineStr">
        <is>
          <t>Removed local MockSession binding</t>
        </is>
      </c>
      <c r="V14" s="20" t="inlineStr"/>
      <c r="W14" s="20" t="inlineStr"/>
      <c r="X14" s="20" t="inlineStr">
        <is>
          <t>P1-6 FIXED</t>
        </is>
      </c>
    </row>
    <row r="15">
      <c r="A15" s="19" t="inlineStr">
        <is>
          <t>BUG-P1-07</t>
        </is>
      </c>
      <c r="B15" s="19" t="inlineStr">
        <is>
          <t>Unscored dimensions show as 0</t>
        </is>
      </c>
      <c r="C15" s="19" t="inlineStr">
        <is>
          <t>Null rendered as confident zero</t>
        </is>
      </c>
      <c r="D15" s="19" t="inlineStr">
        <is>
          <t>Sessions &amp; Debriefs</t>
        </is>
      </c>
      <c r="E15" s="19" t="inlineStr">
        <is>
          <t>Session detail scores</t>
        </is>
      </c>
      <c r="F15" s="19" t="inlineStr">
        <is>
          <t>Staging</t>
        </is>
      </c>
      <c r="G15" s="19" t="inlineStr">
        <is>
          <t>Chrome</t>
        </is>
      </c>
      <c r="H15" s="19" t="inlineStr">
        <is>
          <t>Desktop</t>
        </is>
      </c>
      <c r="I15" s="19" t="inlineStr">
        <is>
          <t>Windows</t>
        </is>
      </c>
      <c r="J15" s="19" t="inlineStr">
        <is>
          <t>Medium</t>
        </is>
      </c>
      <c r="K15" s="19" t="inlineStr">
        <is>
          <t>Medium</t>
        </is>
      </c>
      <c r="L15" s="19" t="inlineStr">
        <is>
          <t>Closed</t>
        </is>
      </c>
      <c r="M15" s="19" t="inlineStr">
        <is>
          <t>Sessions</t>
        </is>
      </c>
      <c r="N15" s="19" t="inlineStr">
        <is>
          <t>Priya Nair</t>
        </is>
      </c>
      <c r="O15" s="22" t="n">
        <v>46217</v>
      </c>
      <c r="P15" s="22" t="n">
        <v>46230</v>
      </c>
      <c r="Q15" s="22" t="n">
        <v>46231</v>
      </c>
      <c r="R15" s="19" t="inlineStr">
        <is>
          <t>1.0.0</t>
        </is>
      </c>
      <c r="S15" s="19" t="inlineStr">
        <is>
          <t>Sprint 26</t>
        </is>
      </c>
      <c r="T15" s="19" t="inlineStr">
        <is>
          <t>UI Regression</t>
        </is>
      </c>
      <c r="U15" s="19" t="inlineStr">
        <is>
          <t>Not scored label</t>
        </is>
      </c>
      <c r="V15" s="19" t="inlineStr"/>
      <c r="W15" s="19" t="inlineStr"/>
      <c r="X15" s="19" t="inlineStr">
        <is>
          <t>P1-7 FIXED</t>
        </is>
      </c>
    </row>
    <row r="16">
      <c r="A16" s="20" t="inlineStr">
        <is>
          <t>BUG-P1-08</t>
        </is>
      </c>
      <c r="B16" s="20" t="inlineStr">
        <is>
          <t>CI validate-env fails</t>
        </is>
      </c>
      <c r="C16" s="20" t="inlineStr">
        <is>
          <t>VITE_APP_ENV=test + ci-placeholder rejected</t>
        </is>
      </c>
      <c r="D16" s="20" t="inlineStr">
        <is>
          <t>Security &amp; Platform</t>
        </is>
      </c>
      <c r="E16" s="20" t="inlineStr">
        <is>
          <t>CI validate-env</t>
        </is>
      </c>
      <c r="F16" s="20" t="inlineStr">
        <is>
          <t>CI</t>
        </is>
      </c>
      <c r="G16" s="20" t="inlineStr">
        <is>
          <t>N/A</t>
        </is>
      </c>
      <c r="H16" s="20" t="inlineStr">
        <is>
          <t>Desktop</t>
        </is>
      </c>
      <c r="I16" s="20" t="inlineStr">
        <is>
          <t>Linux</t>
        </is>
      </c>
      <c r="J16" s="20" t="inlineStr">
        <is>
          <t>High</t>
        </is>
      </c>
      <c r="K16" s="20" t="inlineStr">
        <is>
          <t>High</t>
        </is>
      </c>
      <c r="L16" s="20" t="inlineStr">
        <is>
          <t>Closed</t>
        </is>
      </c>
      <c r="M16" s="20" t="inlineStr">
        <is>
          <t>Platform</t>
        </is>
      </c>
      <c r="N16" s="20" t="inlineStr">
        <is>
          <t>Dev Patel</t>
        </is>
      </c>
      <c r="O16" s="23" t="n">
        <v>46217</v>
      </c>
      <c r="P16" s="23" t="n">
        <v>46230</v>
      </c>
      <c r="Q16" s="20" t="inlineStr"/>
      <c r="R16" s="20" t="inlineStr">
        <is>
          <t>1.0.0</t>
        </is>
      </c>
      <c r="S16" s="20" t="inlineStr">
        <is>
          <t>Sprint 26</t>
        </is>
      </c>
      <c r="T16" s="20" t="inlineStr">
        <is>
          <t>Config/Env</t>
        </is>
      </c>
      <c r="U16" s="20" t="inlineStr">
        <is>
          <t>development + allowlist placeholders</t>
        </is>
      </c>
      <c r="V16" s="20" t="inlineStr"/>
      <c r="W16" s="20" t="inlineStr"/>
      <c r="X16" s="20" t="inlineStr">
        <is>
          <t>P1-8 FIXED</t>
        </is>
      </c>
    </row>
    <row r="17">
      <c r="A17" s="19" t="inlineStr">
        <is>
          <t>BUG-P1-09</t>
        </is>
      </c>
      <c r="B17" s="19" t="inlineStr">
        <is>
          <t>Overlay min size forced 800x600</t>
        </is>
      </c>
      <c r="C17" s="19" t="inlineStr">
        <is>
          <t>Clamped above design 360x320</t>
        </is>
      </c>
      <c r="D17" s="19" t="inlineStr">
        <is>
          <t>Electron Desktop Overlay</t>
        </is>
      </c>
      <c r="E17" s="19" t="inlineStr">
        <is>
          <t>Window min size clamp</t>
        </is>
      </c>
      <c r="F17" s="19" t="inlineStr">
        <is>
          <t>Electron Dev</t>
        </is>
      </c>
      <c r="G17" s="19" t="inlineStr">
        <is>
          <t>Electron</t>
        </is>
      </c>
      <c r="H17" s="19" t="inlineStr">
        <is>
          <t>Desktop</t>
        </is>
      </c>
      <c r="I17" s="19" t="inlineStr">
        <is>
          <t>Windows</t>
        </is>
      </c>
      <c r="J17" s="19" t="inlineStr">
        <is>
          <t>Medium</t>
        </is>
      </c>
      <c r="K17" s="19" t="inlineStr">
        <is>
          <t>Medium</t>
        </is>
      </c>
      <c r="L17" s="19" t="inlineStr">
        <is>
          <t>Closed</t>
        </is>
      </c>
      <c r="M17" s="19" t="inlineStr">
        <is>
          <t>Desktop</t>
        </is>
      </c>
      <c r="N17" s="19" t="inlineStr">
        <is>
          <t>Dev Patel</t>
        </is>
      </c>
      <c r="O17" s="22" t="n">
        <v>46217</v>
      </c>
      <c r="P17" s="22" t="n">
        <v>46230</v>
      </c>
      <c r="Q17" s="22" t="n">
        <v>46231</v>
      </c>
      <c r="R17" s="19" t="inlineStr">
        <is>
          <t>1.0.0</t>
        </is>
      </c>
      <c r="S17" s="19" t="inlineStr">
        <is>
          <t>Sprint 26</t>
        </is>
      </c>
      <c r="T17" s="19" t="inlineStr">
        <is>
          <t>Logic Bug</t>
        </is>
      </c>
      <c r="U17" s="19" t="inlineStr">
        <is>
          <t>Min 360x320</t>
        </is>
      </c>
      <c r="V17" s="19" t="inlineStr"/>
      <c r="W17" s="19" t="inlineStr"/>
      <c r="X17" s="19" t="inlineStr">
        <is>
          <t>P1-9 FIXED</t>
        </is>
      </c>
    </row>
    <row r="18">
      <c r="A18" s="20" t="inlineStr">
        <is>
          <t>BUG-P1-10</t>
        </is>
      </c>
      <c r="B18" s="20" t="inlineStr">
        <is>
          <t>Electron release glob mismatch</t>
        </is>
      </c>
      <c r="C18" s="20" t="inlineStr">
        <is>
          <t>Uploads release/*.exe builds in release-new</t>
        </is>
      </c>
      <c r="D18" s="20" t="inlineStr">
        <is>
          <t>Electron Desktop Overlay</t>
        </is>
      </c>
      <c r="E18" s="20" t="inlineStr">
        <is>
          <t>Auto-update</t>
        </is>
      </c>
      <c r="F18" s="20" t="inlineStr">
        <is>
          <t>CI</t>
        </is>
      </c>
      <c r="G18" s="20" t="inlineStr">
        <is>
          <t>N/A</t>
        </is>
      </c>
      <c r="H18" s="20" t="inlineStr">
        <is>
          <t>Desktop</t>
        </is>
      </c>
      <c r="I18" s="20" t="inlineStr">
        <is>
          <t>Windows</t>
        </is>
      </c>
      <c r="J18" s="20" t="inlineStr">
        <is>
          <t>Medium</t>
        </is>
      </c>
      <c r="K18" s="20" t="inlineStr">
        <is>
          <t>High</t>
        </is>
      </c>
      <c r="L18" s="20" t="inlineStr">
        <is>
          <t>Closed</t>
        </is>
      </c>
      <c r="M18" s="20" t="inlineStr">
        <is>
          <t>Desktop</t>
        </is>
      </c>
      <c r="N18" s="20" t="inlineStr">
        <is>
          <t>Dev Patel</t>
        </is>
      </c>
      <c r="O18" s="23" t="n">
        <v>46217</v>
      </c>
      <c r="P18" s="23" t="n">
        <v>46230</v>
      </c>
      <c r="Q18" s="20" t="inlineStr"/>
      <c r="R18" s="20" t="inlineStr">
        <is>
          <t>1.0.0</t>
        </is>
      </c>
      <c r="S18" s="20" t="inlineStr">
        <is>
          <t>Sprint 26</t>
        </is>
      </c>
      <c r="T18" s="20" t="inlineStr">
        <is>
          <t>Config/Env</t>
        </is>
      </c>
      <c r="U18" s="20" t="inlineStr">
        <is>
          <t>directories.output=release; gitignore release-new</t>
        </is>
      </c>
      <c r="V18" s="20" t="inlineStr"/>
      <c r="W18" s="20" t="inlineStr"/>
      <c r="X18" s="20" t="inlineStr">
        <is>
          <t>P1-10</t>
        </is>
      </c>
    </row>
    <row r="19">
      <c r="A19" s="19" t="inlineStr">
        <is>
          <t>BUG-P2-01</t>
        </is>
      </c>
      <c r="B19" s="19" t="inlineStr">
        <is>
          <t>Warm-up copy said 2 ran 10</t>
        </is>
      </c>
      <c r="C19" s="19" t="inlineStr">
        <is>
          <t>Copy vs WARMUP_MAX mismatch</t>
        </is>
      </c>
      <c r="D19" s="19" t="inlineStr">
        <is>
          <t>Mock Interview</t>
        </is>
      </c>
      <c r="E19" s="19" t="inlineStr">
        <is>
          <t>Mock warm-up</t>
        </is>
      </c>
      <c r="F19" s="19" t="inlineStr">
        <is>
          <t>Staging</t>
        </is>
      </c>
      <c r="G19" s="19" t="inlineStr">
        <is>
          <t>Chrome</t>
        </is>
      </c>
      <c r="H19" s="19" t="inlineStr">
        <is>
          <t>Desktop</t>
        </is>
      </c>
      <c r="I19" s="19" t="inlineStr">
        <is>
          <t>Windows</t>
        </is>
      </c>
      <c r="J19" s="19" t="inlineStr">
        <is>
          <t>Low</t>
        </is>
      </c>
      <c r="K19" s="19" t="inlineStr">
        <is>
          <t>Medium</t>
        </is>
      </c>
      <c r="L19" s="19" t="inlineStr">
        <is>
          <t>Closed</t>
        </is>
      </c>
      <c r="M19" s="19" t="inlineStr">
        <is>
          <t>Live Coach</t>
        </is>
      </c>
      <c r="N19" s="19" t="inlineStr">
        <is>
          <t>Priya Nair</t>
        </is>
      </c>
      <c r="O19" s="22" t="n">
        <v>46220</v>
      </c>
      <c r="P19" s="22" t="n">
        <v>46230</v>
      </c>
      <c r="Q19" s="22" t="n">
        <v>46231</v>
      </c>
      <c r="R19" s="19" t="inlineStr">
        <is>
          <t>1.0.0</t>
        </is>
      </c>
      <c r="S19" s="19" t="inlineStr">
        <is>
          <t>Sprint 26</t>
        </is>
      </c>
      <c r="T19" s="19" t="inlineStr">
        <is>
          <t>UI Regression</t>
        </is>
      </c>
      <c r="U19" s="19" t="inlineStr">
        <is>
          <t>Copy reads WARMUP_MAX</t>
        </is>
      </c>
      <c r="V19" s="19" t="inlineStr"/>
      <c r="W19" s="19" t="inlineStr"/>
      <c r="X19" s="19" t="inlineStr">
        <is>
          <t>P2-1 FIXED</t>
        </is>
      </c>
    </row>
    <row r="20">
      <c r="A20" s="20" t="inlineStr">
        <is>
          <t>BUG-P2-02</t>
        </is>
      </c>
      <c r="B20" s="20" t="inlineStr">
        <is>
          <t>MockTestHub total questions wrong</t>
        </is>
      </c>
      <c r="C20" s="20" t="inlineStr">
        <is>
          <t>Counted user uploads as bank size</t>
        </is>
      </c>
      <c r="D20" s="20" t="inlineStr">
        <is>
          <t>Gov Exam Mock Tests</t>
        </is>
      </c>
      <c r="E20" s="20" t="inlineStr">
        <is>
          <t>Question bank content</t>
        </is>
      </c>
      <c r="F20" s="20" t="inlineStr">
        <is>
          <t>Staging</t>
        </is>
      </c>
      <c r="G20" s="20" t="inlineStr">
        <is>
          <t>Chrome</t>
        </is>
      </c>
      <c r="H20" s="20" t="inlineStr">
        <is>
          <t>Desktop</t>
        </is>
      </c>
      <c r="I20" s="20" t="inlineStr">
        <is>
          <t>Windows</t>
        </is>
      </c>
      <c r="J20" s="20" t="inlineStr">
        <is>
          <t>Medium</t>
        </is>
      </c>
      <c r="K20" s="20" t="inlineStr">
        <is>
          <t>Medium</t>
        </is>
      </c>
      <c r="L20" s="20" t="inlineStr">
        <is>
          <t>Closed</t>
        </is>
      </c>
      <c r="M20" s="20" t="inlineStr">
        <is>
          <t>GovExams</t>
        </is>
      </c>
      <c r="N20" s="20" t="inlineStr">
        <is>
          <t>Rohan Mehta</t>
        </is>
      </c>
      <c r="O20" s="23" t="n">
        <v>46220</v>
      </c>
      <c r="P20" s="23" t="n">
        <v>46230</v>
      </c>
      <c r="Q20" s="20" t="inlineStr"/>
      <c r="R20" s="20" t="inlineStr">
        <is>
          <t>1.0.0</t>
        </is>
      </c>
      <c r="S20" s="20" t="inlineStr">
        <is>
          <t>Sprint 26</t>
        </is>
      </c>
      <c r="T20" s="20" t="inlineStr">
        <is>
          <t>Logic Bug</t>
        </is>
      </c>
      <c r="U20" s="20" t="inlineStr">
        <is>
          <t>Label My uploads</t>
        </is>
      </c>
      <c r="V20" s="20" t="inlineStr"/>
      <c r="W20" s="20" t="inlineStr"/>
      <c r="X20" s="20" t="inlineStr">
        <is>
          <t>P2-2 FIXED</t>
        </is>
      </c>
    </row>
    <row r="21">
      <c r="A21" s="19" t="inlineStr">
        <is>
          <t>BUG-P2-03</t>
        </is>
      </c>
      <c r="B21" s="19" t="inlineStr">
        <is>
          <t>Predicted percentile misleading</t>
        </is>
      </c>
      <c r="C21" s="19" t="inlineStr">
        <is>
          <t>Formula not cohort rank</t>
        </is>
      </c>
      <c r="D21" s="19" t="inlineStr">
        <is>
          <t>Gov Exam Mock Tests</t>
        </is>
      </c>
      <c r="E21" s="19" t="inlineStr">
        <is>
          <t>Mock test engine</t>
        </is>
      </c>
      <c r="F21" s="19" t="inlineStr">
        <is>
          <t>Staging</t>
        </is>
      </c>
      <c r="G21" s="19" t="inlineStr">
        <is>
          <t>Chrome</t>
        </is>
      </c>
      <c r="H21" s="19" t="inlineStr">
        <is>
          <t>Desktop</t>
        </is>
      </c>
      <c r="I21" s="19" t="inlineStr">
        <is>
          <t>Windows</t>
        </is>
      </c>
      <c r="J21" s="19" t="inlineStr">
        <is>
          <t>Medium</t>
        </is>
      </c>
      <c r="K21" s="19" t="inlineStr">
        <is>
          <t>Medium</t>
        </is>
      </c>
      <c r="L21" s="19" t="inlineStr">
        <is>
          <t>Closed</t>
        </is>
      </c>
      <c r="M21" s="19" t="inlineStr">
        <is>
          <t>GovExams</t>
        </is>
      </c>
      <c r="N21" s="19" t="inlineStr">
        <is>
          <t>Rohan Mehta</t>
        </is>
      </c>
      <c r="O21" s="22" t="n">
        <v>46220</v>
      </c>
      <c r="P21" s="22" t="n">
        <v>46230</v>
      </c>
      <c r="Q21" s="19" t="inlineStr"/>
      <c r="R21" s="19" t="inlineStr">
        <is>
          <t>1.0.0</t>
        </is>
      </c>
      <c r="S21" s="19" t="inlineStr">
        <is>
          <t>Sprint 26</t>
        </is>
      </c>
      <c r="T21" s="19" t="inlineStr">
        <is>
          <t>Design Gap</t>
        </is>
      </c>
      <c r="U21" s="19" t="inlineStr">
        <is>
          <t>Relabeled estimated band</t>
        </is>
      </c>
      <c r="V21" s="19" t="inlineStr"/>
      <c r="W21" s="19" t="inlineStr"/>
      <c r="X21" s="19" t="inlineStr">
        <is>
          <t>P2-3 FIXED</t>
        </is>
      </c>
    </row>
    <row r="22">
      <c r="A22" s="20" t="inlineStr">
        <is>
          <t>BUG-P2-04</t>
        </is>
      </c>
      <c r="B22" s="20" t="inlineStr">
        <is>
          <t>Pricing showed Max as Custom</t>
        </is>
      </c>
      <c r="C22" s="20" t="inlineStr">
        <is>
          <t>Should show $79</t>
        </is>
      </c>
      <c r="D22" s="20" t="inlineStr">
        <is>
          <t>Marketing Site</t>
        </is>
      </c>
      <c r="E22" s="20" t="inlineStr">
        <is>
          <t>Landing + pricing pages</t>
        </is>
      </c>
      <c r="F22" s="20" t="inlineStr">
        <is>
          <t>Staging</t>
        </is>
      </c>
      <c r="G22" s="20" t="inlineStr">
        <is>
          <t>Chrome</t>
        </is>
      </c>
      <c r="H22" s="20" t="inlineStr">
        <is>
          <t>Desktop</t>
        </is>
      </c>
      <c r="I22" s="20" t="inlineStr">
        <is>
          <t>Windows</t>
        </is>
      </c>
      <c r="J22" s="20" t="inlineStr">
        <is>
          <t>High</t>
        </is>
      </c>
      <c r="K22" s="20" t="inlineStr">
        <is>
          <t>High</t>
        </is>
      </c>
      <c r="L22" s="20" t="inlineStr">
        <is>
          <t>Closed</t>
        </is>
      </c>
      <c r="M22" s="20" t="inlineStr">
        <is>
          <t>Growth</t>
        </is>
      </c>
      <c r="N22" s="20" t="inlineStr">
        <is>
          <t>Kavya Iyer</t>
        </is>
      </c>
      <c r="O22" s="23" t="n">
        <v>46220</v>
      </c>
      <c r="P22" s="23" t="n">
        <v>46230</v>
      </c>
      <c r="Q22" s="23" t="n">
        <v>46231</v>
      </c>
      <c r="R22" s="20" t="inlineStr">
        <is>
          <t>1.0.0</t>
        </is>
      </c>
      <c r="S22" s="20" t="inlineStr">
        <is>
          <t>Sprint 26</t>
        </is>
      </c>
      <c r="T22" s="20" t="inlineStr">
        <is>
          <t>UI Regression</t>
        </is>
      </c>
      <c r="U22" s="20" t="inlineStr">
        <is>
          <t>Show $79</t>
        </is>
      </c>
      <c r="V22" s="20" t="inlineStr"/>
      <c r="W22" s="20" t="inlineStr"/>
      <c r="X22" s="20" t="inlineStr">
        <is>
          <t>P2-4 FIXED</t>
        </is>
      </c>
    </row>
    <row r="23">
      <c r="A23" s="19" t="inlineStr">
        <is>
          <t>BUG-P2-05</t>
        </is>
      </c>
      <c r="B23" s="19" t="inlineStr">
        <is>
          <t>StarBuilder polish cost wrong</t>
        </is>
      </c>
      <c r="C23" s="19" t="inlineStr">
        <is>
          <t>Hardcoded cost vs economics</t>
        </is>
      </c>
      <c r="D23" s="19" t="inlineStr">
        <is>
          <t>Prep Lab</t>
        </is>
      </c>
      <c r="E23" s="19" t="inlineStr">
        <is>
          <t>STAR Builder</t>
        </is>
      </c>
      <c r="F23" s="19" t="inlineStr">
        <is>
          <t>Staging</t>
        </is>
      </c>
      <c r="G23" s="19" t="inlineStr">
        <is>
          <t>Chrome</t>
        </is>
      </c>
      <c r="H23" s="19" t="inlineStr">
        <is>
          <t>Desktop</t>
        </is>
      </c>
      <c r="I23" s="19" t="inlineStr">
        <is>
          <t>Windows</t>
        </is>
      </c>
      <c r="J23" s="19" t="inlineStr">
        <is>
          <t>Medium</t>
        </is>
      </c>
      <c r="K23" s="19" t="inlineStr">
        <is>
          <t>Medium</t>
        </is>
      </c>
      <c r="L23" s="19" t="inlineStr">
        <is>
          <t>Closed</t>
        </is>
      </c>
      <c r="M23" s="19" t="inlineStr">
        <is>
          <t>Prep</t>
        </is>
      </c>
      <c r="N23" s="19" t="inlineStr">
        <is>
          <t>Asha Sharma</t>
        </is>
      </c>
      <c r="O23" s="22" t="n">
        <v>46220</v>
      </c>
      <c r="P23" s="22" t="n">
        <v>46230</v>
      </c>
      <c r="Q23" s="19" t="inlineStr"/>
      <c r="R23" s="19" t="inlineStr">
        <is>
          <t>1.0.0</t>
        </is>
      </c>
      <c r="S23" s="19" t="inlineStr">
        <is>
          <t>Sprint 26</t>
        </is>
      </c>
      <c r="T23" s="19" t="inlineStr">
        <is>
          <t>Logic Bug</t>
        </is>
      </c>
      <c r="U23" s="19" t="inlineStr">
        <is>
          <t>Use creditEconomics</t>
        </is>
      </c>
      <c r="V23" s="19" t="inlineStr"/>
      <c r="W23" s="19" t="inlineStr"/>
      <c r="X23" s="19" t="inlineStr">
        <is>
          <t>P2-5 FIXED</t>
        </is>
      </c>
    </row>
    <row r="24">
      <c r="A24" s="20" t="inlineStr">
        <is>
          <t>BUG-P2-06</t>
        </is>
      </c>
      <c r="B24" s="20" t="inlineStr">
        <is>
          <t>SettingsBilling creditsUsed negative</t>
        </is>
      </c>
      <c r="C24" s="20" t="inlineStr">
        <is>
          <t>allowance - remaining after packs</t>
        </is>
      </c>
      <c r="D24" s="20" t="inlineStr">
        <is>
          <t>Settings</t>
        </is>
      </c>
      <c r="E24" s="20" t="inlineStr">
        <is>
          <t>Billing settings tab</t>
        </is>
      </c>
      <c r="F24" s="20" t="inlineStr">
        <is>
          <t>Staging</t>
        </is>
      </c>
      <c r="G24" s="20" t="inlineStr">
        <is>
          <t>Chrome</t>
        </is>
      </c>
      <c r="H24" s="20" t="inlineStr">
        <is>
          <t>Desktop</t>
        </is>
      </c>
      <c r="I24" s="20" t="inlineStr">
        <is>
          <t>Windows</t>
        </is>
      </c>
      <c r="J24" s="20" t="inlineStr">
        <is>
          <t>Medium</t>
        </is>
      </c>
      <c r="K24" s="20" t="inlineStr">
        <is>
          <t>High</t>
        </is>
      </c>
      <c r="L24" s="20" t="inlineStr">
        <is>
          <t>Closed</t>
        </is>
      </c>
      <c r="M24" s="20" t="inlineStr">
        <is>
          <t>Billing</t>
        </is>
      </c>
      <c r="N24" s="20" t="inlineStr">
        <is>
          <t>Asha Sharma</t>
        </is>
      </c>
      <c r="O24" s="23" t="n">
        <v>46220</v>
      </c>
      <c r="P24" s="23" t="n">
        <v>46230</v>
      </c>
      <c r="Q24" s="20" t="inlineStr"/>
      <c r="R24" s="20" t="inlineStr">
        <is>
          <t>1.0.0</t>
        </is>
      </c>
      <c r="S24" s="20" t="inlineStr">
        <is>
          <t>Sprint 26</t>
        </is>
      </c>
      <c r="T24" s="20" t="inlineStr">
        <is>
          <t>Logic Bug</t>
        </is>
      </c>
      <c r="U24" s="20" t="inlineStr">
        <is>
          <t>Usage from ledger</t>
        </is>
      </c>
      <c r="V24" s="20" t="inlineStr"/>
      <c r="W24" s="20" t="inlineStr"/>
      <c r="X24" s="20" t="inlineStr">
        <is>
          <t>P2-6 FIXED</t>
        </is>
      </c>
    </row>
    <row r="25">
      <c r="A25" s="19" t="inlineStr">
        <is>
          <t>BUG-P2-07</t>
        </is>
      </c>
      <c r="B25" s="19" t="inlineStr">
        <is>
          <t>India-only advertised but disabled</t>
        </is>
      </c>
      <c r="C25" s="19" t="inlineStr">
        <is>
          <t>UI claims vs indiaRegion always true</t>
        </is>
      </c>
      <c r="D25" s="19" t="inlineStr">
        <is>
          <t>Gov Exam Mock Tests</t>
        </is>
      </c>
      <c r="E25" s="19" t="inlineStr">
        <is>
          <t>India region gate</t>
        </is>
      </c>
      <c r="F25" s="19" t="inlineStr">
        <is>
          <t>Staging</t>
        </is>
      </c>
      <c r="G25" s="19" t="inlineStr">
        <is>
          <t>Chrome</t>
        </is>
      </c>
      <c r="H25" s="19" t="inlineStr">
        <is>
          <t>Desktop</t>
        </is>
      </c>
      <c r="I25" s="19" t="inlineStr">
        <is>
          <t>Windows</t>
        </is>
      </c>
      <c r="J25" s="19" t="inlineStr">
        <is>
          <t>Medium</t>
        </is>
      </c>
      <c r="K25" s="19" t="inlineStr">
        <is>
          <t>Medium</t>
        </is>
      </c>
      <c r="L25" s="19" t="inlineStr">
        <is>
          <t>Closed</t>
        </is>
      </c>
      <c r="M25" s="19" t="inlineStr">
        <is>
          <t>Platform</t>
        </is>
      </c>
      <c r="N25" s="19" t="inlineStr">
        <is>
          <t>Kavya Iyer</t>
        </is>
      </c>
      <c r="O25" s="22" t="n">
        <v>46220</v>
      </c>
      <c r="P25" s="22" t="n">
        <v>46230</v>
      </c>
      <c r="Q25" s="19" t="inlineStr"/>
      <c r="R25" s="19" t="inlineStr">
        <is>
          <t>1.0.0</t>
        </is>
      </c>
      <c r="S25" s="19" t="inlineStr">
        <is>
          <t>Sprint 26</t>
        </is>
      </c>
      <c r="T25" s="19" t="inlineStr">
        <is>
          <t>Design Gap</t>
        </is>
      </c>
      <c r="U25" s="19" t="inlineStr">
        <is>
          <t>Strip India-only claims</t>
        </is>
      </c>
      <c r="V25" s="19" t="inlineStr"/>
      <c r="W25" s="19" t="inlineStr"/>
      <c r="X25" s="19" t="inlineStr">
        <is>
          <t>P2-7 FIXED</t>
        </is>
      </c>
    </row>
    <row r="26">
      <c r="A26" s="20" t="inlineStr">
        <is>
          <t>BUG-P2-08</t>
        </is>
      </c>
      <c r="B26" s="20" t="inlineStr">
        <is>
          <t>Analytics overwrote total_sessions</t>
        </is>
      </c>
      <c r="C26" s="20" t="inlineStr">
        <is>
          <t>Client page length overwrite</t>
        </is>
      </c>
      <c r="D26" s="20" t="inlineStr">
        <is>
          <t>Analytics &amp; Usage</t>
        </is>
      </c>
      <c r="E26" s="20" t="inlineStr">
        <is>
          <t>Analytics dashboard</t>
        </is>
      </c>
      <c r="F26" s="20" t="inlineStr">
        <is>
          <t>Staging</t>
        </is>
      </c>
      <c r="G26" s="20" t="inlineStr">
        <is>
          <t>Chrome</t>
        </is>
      </c>
      <c r="H26" s="20" t="inlineStr">
        <is>
          <t>Desktop</t>
        </is>
      </c>
      <c r="I26" s="20" t="inlineStr">
        <is>
          <t>Windows</t>
        </is>
      </c>
      <c r="J26" s="20" t="inlineStr">
        <is>
          <t>Medium</t>
        </is>
      </c>
      <c r="K26" s="20" t="inlineStr">
        <is>
          <t>Medium</t>
        </is>
      </c>
      <c r="L26" s="20" t="inlineStr">
        <is>
          <t>Closed</t>
        </is>
      </c>
      <c r="M26" s="20" t="inlineStr">
        <is>
          <t>Analytics</t>
        </is>
      </c>
      <c r="N26" s="20" t="inlineStr">
        <is>
          <t>Rohan Mehta</t>
        </is>
      </c>
      <c r="O26" s="23" t="n">
        <v>46220</v>
      </c>
      <c r="P26" s="23" t="n">
        <v>46230</v>
      </c>
      <c r="Q26" s="20" t="inlineStr"/>
      <c r="R26" s="20" t="inlineStr">
        <is>
          <t>1.0.0</t>
        </is>
      </c>
      <c r="S26" s="20" t="inlineStr">
        <is>
          <t>Sprint 26</t>
        </is>
      </c>
      <c r="T26" s="20" t="inlineStr">
        <is>
          <t>Logic Bug</t>
        </is>
      </c>
      <c r="U26" s="20" t="inlineStr">
        <is>
          <t>Keep server total_sessions</t>
        </is>
      </c>
      <c r="V26" s="20" t="inlineStr"/>
      <c r="W26" s="20" t="inlineStr"/>
      <c r="X26" s="20" t="inlineStr">
        <is>
          <t>P2-8 FIXED</t>
        </is>
      </c>
    </row>
    <row r="27">
      <c r="A27" s="19" t="inlineStr">
        <is>
          <t>BUG-P2-09</t>
        </is>
      </c>
      <c r="B27" s="19" t="inlineStr">
        <is>
          <t>Onboarding always saved default mic</t>
        </is>
      </c>
      <c r="C27" s="19" t="inlineStr">
        <is>
          <t>audio_input_device hardcoded</t>
        </is>
      </c>
      <c r="D27" s="19" t="inlineStr">
        <is>
          <t>Auth &amp; Onboarding</t>
        </is>
      </c>
      <c r="E27" s="19" t="inlineStr">
        <is>
          <t>Onboarding wizard 5 steps</t>
        </is>
      </c>
      <c r="F27" s="19" t="inlineStr">
        <is>
          <t>Staging</t>
        </is>
      </c>
      <c r="G27" s="19" t="inlineStr">
        <is>
          <t>Chrome</t>
        </is>
      </c>
      <c r="H27" s="19" t="inlineStr">
        <is>
          <t>Desktop</t>
        </is>
      </c>
      <c r="I27" s="19" t="inlineStr">
        <is>
          <t>Windows</t>
        </is>
      </c>
      <c r="J27" s="19" t="inlineStr">
        <is>
          <t>Medium</t>
        </is>
      </c>
      <c r="K27" s="19" t="inlineStr">
        <is>
          <t>Medium</t>
        </is>
      </c>
      <c r="L27" s="19" t="inlineStr">
        <is>
          <t>Closed</t>
        </is>
      </c>
      <c r="M27" s="19" t="inlineStr">
        <is>
          <t>Auth Lead</t>
        </is>
      </c>
      <c r="N27" s="19" t="inlineStr">
        <is>
          <t>Priya Nair</t>
        </is>
      </c>
      <c r="O27" s="22" t="n">
        <v>46220</v>
      </c>
      <c r="P27" s="22" t="n">
        <v>46230</v>
      </c>
      <c r="Q27" s="19" t="inlineStr"/>
      <c r="R27" s="19" t="inlineStr">
        <is>
          <t>1.0.0</t>
        </is>
      </c>
      <c r="S27" s="19" t="inlineStr">
        <is>
          <t>Sprint 26</t>
        </is>
      </c>
      <c r="T27" s="19" t="inlineStr">
        <is>
          <t>Logic Bug</t>
        </is>
      </c>
      <c r="U27" s="19" t="inlineStr">
        <is>
          <t>Persist selected device</t>
        </is>
      </c>
      <c r="V27" s="19" t="inlineStr"/>
      <c r="W27" s="19" t="inlineStr"/>
      <c r="X27" s="19" t="inlineStr">
        <is>
          <t>P2-9 FIXED</t>
        </is>
      </c>
    </row>
    <row r="28">
      <c r="A28" s="20" t="inlineStr">
        <is>
          <t>BUG-P2-10</t>
        </is>
      </c>
      <c r="B28" s="20" t="inlineStr">
        <is>
          <t>Onboarding anxiety never saved</t>
        </is>
      </c>
      <c r="C28" s="20" t="inlineStr">
        <is>
          <t>Collected then discarded</t>
        </is>
      </c>
      <c r="D28" s="20" t="inlineStr">
        <is>
          <t>Auth &amp; Onboarding</t>
        </is>
      </c>
      <c r="E28" s="20" t="inlineStr">
        <is>
          <t>Onboarding wizard 5 steps</t>
        </is>
      </c>
      <c r="F28" s="20" t="inlineStr">
        <is>
          <t>Staging</t>
        </is>
      </c>
      <c r="G28" s="20" t="inlineStr">
        <is>
          <t>Chrome</t>
        </is>
      </c>
      <c r="H28" s="20" t="inlineStr">
        <is>
          <t>Desktop</t>
        </is>
      </c>
      <c r="I28" s="20" t="inlineStr">
        <is>
          <t>Windows</t>
        </is>
      </c>
      <c r="J28" s="20" t="inlineStr">
        <is>
          <t>Low</t>
        </is>
      </c>
      <c r="K28" s="20" t="inlineStr">
        <is>
          <t>Medium</t>
        </is>
      </c>
      <c r="L28" s="20" t="inlineStr">
        <is>
          <t>Closed</t>
        </is>
      </c>
      <c r="M28" s="20" t="inlineStr">
        <is>
          <t>Auth Lead</t>
        </is>
      </c>
      <c r="N28" s="20" t="inlineStr">
        <is>
          <t>Priya Nair</t>
        </is>
      </c>
      <c r="O28" s="23" t="n">
        <v>46220</v>
      </c>
      <c r="P28" s="23" t="n">
        <v>46230</v>
      </c>
      <c r="Q28" s="20" t="inlineStr"/>
      <c r="R28" s="20" t="inlineStr">
        <is>
          <t>1.0.0</t>
        </is>
      </c>
      <c r="S28" s="20" t="inlineStr">
        <is>
          <t>Sprint 26</t>
        </is>
      </c>
      <c r="T28" s="20" t="inlineStr">
        <is>
          <t>Logic Bug</t>
        </is>
      </c>
      <c r="U28" s="20" t="inlineStr">
        <is>
          <t>Persist in JSON prefs</t>
        </is>
      </c>
      <c r="V28" s="20" t="inlineStr"/>
      <c r="W28" s="20" t="inlineStr"/>
      <c r="X28" s="20" t="inlineStr">
        <is>
          <t>P2-10 FIXED</t>
        </is>
      </c>
    </row>
    <row r="29">
      <c r="A29" s="19" t="inlineStr">
        <is>
          <t>BUG-P2-11</t>
        </is>
      </c>
      <c r="B29" s="19" t="inlineStr">
        <is>
          <t>Sidebar collapse overwritten on resize</t>
        </is>
      </c>
      <c r="C29" s="19" t="inlineStr">
        <is>
          <t>Breakpoint overwrote preference</t>
        </is>
      </c>
      <c r="D29" s="19" t="inlineStr">
        <is>
          <t>Dashboard</t>
        </is>
      </c>
      <c r="E29" s="19" t="inlineStr">
        <is>
          <t>Home dashboard KPIs</t>
        </is>
      </c>
      <c r="F29" s="19" t="inlineStr">
        <is>
          <t>Staging</t>
        </is>
      </c>
      <c r="G29" s="19" t="inlineStr">
        <is>
          <t>Chrome</t>
        </is>
      </c>
      <c r="H29" s="19" t="inlineStr">
        <is>
          <t>Desktop</t>
        </is>
      </c>
      <c r="I29" s="19" t="inlineStr">
        <is>
          <t>Windows</t>
        </is>
      </c>
      <c r="J29" s="19" t="inlineStr">
        <is>
          <t>Low</t>
        </is>
      </c>
      <c r="K29" s="19" t="inlineStr">
        <is>
          <t>Low</t>
        </is>
      </c>
      <c r="L29" s="19" t="inlineStr">
        <is>
          <t>Closed</t>
        </is>
      </c>
      <c r="M29" s="19" t="inlineStr">
        <is>
          <t>Product</t>
        </is>
      </c>
      <c r="N29" s="19" t="inlineStr">
        <is>
          <t>Rohan Mehta</t>
        </is>
      </c>
      <c r="O29" s="22" t="n">
        <v>46220</v>
      </c>
      <c r="P29" s="22" t="n">
        <v>46230</v>
      </c>
      <c r="Q29" s="19" t="inlineStr"/>
      <c r="R29" s="19" t="inlineStr">
        <is>
          <t>1.0.0</t>
        </is>
      </c>
      <c r="S29" s="19" t="inlineStr">
        <is>
          <t>Sprint 26</t>
        </is>
      </c>
      <c r="T29" s="19" t="inlineStr">
        <is>
          <t>Logic Bug</t>
        </is>
      </c>
      <c r="U29" s="19" t="inlineStr">
        <is>
          <t>Local transient collapse</t>
        </is>
      </c>
      <c r="V29" s="19" t="inlineStr"/>
      <c r="W29" s="19" t="inlineStr"/>
      <c r="X29" s="19" t="inlineStr">
        <is>
          <t>P2-11 FIXED</t>
        </is>
      </c>
    </row>
    <row r="30">
      <c r="A30" s="20" t="inlineStr">
        <is>
          <t>BUG-P2-12</t>
        </is>
      </c>
      <c r="B30" s="20" t="inlineStr">
        <is>
          <t>Help still describes Group Practice</t>
        </is>
      </c>
      <c r="C30" s="20" t="inlineStr">
        <is>
          <t>Rooms redirect away</t>
        </is>
      </c>
      <c r="D30" s="20" t="inlineStr">
        <is>
          <t>Referrals &amp; Guide</t>
        </is>
      </c>
      <c r="E30" s="20" t="inlineStr">
        <is>
          <t>In-app Guide/Help</t>
        </is>
      </c>
      <c r="F30" s="20" t="inlineStr">
        <is>
          <t>Staging</t>
        </is>
      </c>
      <c r="G30" s="20" t="inlineStr">
        <is>
          <t>Chrome</t>
        </is>
      </c>
      <c r="H30" s="20" t="inlineStr">
        <is>
          <t>Desktop</t>
        </is>
      </c>
      <c r="I30" s="20" t="inlineStr">
        <is>
          <t>Windows</t>
        </is>
      </c>
      <c r="J30" s="20" t="inlineStr">
        <is>
          <t>Low</t>
        </is>
      </c>
      <c r="K30" s="20" t="inlineStr">
        <is>
          <t>Low</t>
        </is>
      </c>
      <c r="L30" s="20" t="inlineStr">
        <is>
          <t>Closed</t>
        </is>
      </c>
      <c r="M30" s="20" t="inlineStr">
        <is>
          <t>Growth</t>
        </is>
      </c>
      <c r="N30" s="20" t="inlineStr">
        <is>
          <t>Kavya Iyer</t>
        </is>
      </c>
      <c r="O30" s="23" t="n">
        <v>46220</v>
      </c>
      <c r="P30" s="23" t="n">
        <v>46230</v>
      </c>
      <c r="Q30" s="20" t="inlineStr"/>
      <c r="R30" s="20" t="inlineStr">
        <is>
          <t>1.0.0</t>
        </is>
      </c>
      <c r="S30" s="20" t="inlineStr">
        <is>
          <t>Sprint 26</t>
        </is>
      </c>
      <c r="T30" s="20" t="inlineStr">
        <is>
          <t>Design Gap</t>
        </is>
      </c>
      <c r="U30" s="20" t="inlineStr">
        <is>
          <t>Coming soon copy</t>
        </is>
      </c>
      <c r="V30" s="20" t="inlineStr"/>
      <c r="W30" s="20" t="inlineStr"/>
      <c r="X30" s="20" t="inlineStr">
        <is>
          <t>P2-12 FIXED</t>
        </is>
      </c>
    </row>
    <row r="31">
      <c r="A31" s="19" t="inlineStr">
        <is>
          <t>BUG-OPEN-01</t>
        </is>
      </c>
      <c r="B31" s="19" t="inlineStr">
        <is>
          <t>Razorpay plans do not auto-renew</t>
        </is>
      </c>
      <c r="C31" s="19" t="inlineStr">
        <is>
          <t>One-time Order only; no Subscriptions API</t>
        </is>
      </c>
      <c r="D31" s="19" t="inlineStr">
        <is>
          <t>Billing &amp; Credits</t>
        </is>
      </c>
      <c r="E31" s="19" t="inlineStr">
        <is>
          <t>Razorpay INR checkout</t>
        </is>
      </c>
      <c r="F31" s="19" t="inlineStr">
        <is>
          <t>Production</t>
        </is>
      </c>
      <c r="G31" s="19" t="inlineStr">
        <is>
          <t>Chrome</t>
        </is>
      </c>
      <c r="H31" s="19" t="inlineStr">
        <is>
          <t>Desktop</t>
        </is>
      </c>
      <c r="I31" s="19" t="inlineStr">
        <is>
          <t>Windows</t>
        </is>
      </c>
      <c r="J31" s="19" t="inlineStr">
        <is>
          <t>High</t>
        </is>
      </c>
      <c r="K31" s="19" t="inlineStr">
        <is>
          <t>Critical</t>
        </is>
      </c>
      <c r="L31" s="19" t="inlineStr">
        <is>
          <t>Open</t>
        </is>
      </c>
      <c r="M31" s="19" t="inlineStr">
        <is>
          <t>Billing</t>
        </is>
      </c>
      <c r="N31" s="19" t="inlineStr">
        <is>
          <t>Asha Sharma</t>
        </is>
      </c>
      <c r="O31" s="22" t="n">
        <v>46207</v>
      </c>
      <c r="P31" s="19" t="inlineStr"/>
      <c r="Q31" s="19" t="inlineStr"/>
      <c r="R31" s="19" t="inlineStr">
        <is>
          <t>1.0.0</t>
        </is>
      </c>
      <c r="S31" s="19" t="inlineStr">
        <is>
          <t>Sprint 25</t>
        </is>
      </c>
      <c r="T31" s="19" t="inlineStr">
        <is>
          <t>Design Gap</t>
        </is>
      </c>
      <c r="U31" s="19" t="inlineStr"/>
      <c r="V31" s="19" t="inlineStr"/>
      <c r="W31" s="19" t="inlineStr"/>
      <c r="X31" s="19" t="inlineStr">
        <is>
          <t>Roadmap — recurring INR</t>
        </is>
      </c>
    </row>
    <row r="32">
      <c r="A32" s="20" t="inlineStr">
        <is>
          <t>BUG-OPEN-02</t>
        </is>
      </c>
      <c r="B32" s="20" t="inlineStr">
        <is>
          <t>Gov exam bank was thin (~26 MCQs)</t>
        </is>
      </c>
      <c r="C32" s="20" t="inlineStr">
        <is>
          <t>Expanded via migration 20260729120000 (~80+ new MCQs)</t>
        </is>
      </c>
      <c r="D32" s="20" t="inlineStr">
        <is>
          <t>Gov Exam Mock Tests</t>
        </is>
      </c>
      <c r="E32" s="20" t="inlineStr">
        <is>
          <t>Question bank content</t>
        </is>
      </c>
      <c r="F32" s="20" t="inlineStr">
        <is>
          <t>Staging</t>
        </is>
      </c>
      <c r="G32" s="20" t="inlineStr">
        <is>
          <t>Chrome</t>
        </is>
      </c>
      <c r="H32" s="20" t="inlineStr">
        <is>
          <t>Desktop</t>
        </is>
      </c>
      <c r="I32" s="20" t="inlineStr">
        <is>
          <t>Windows</t>
        </is>
      </c>
      <c r="J32" s="20" t="inlineStr">
        <is>
          <t>High</t>
        </is>
      </c>
      <c r="K32" s="20" t="inlineStr">
        <is>
          <t>Critical</t>
        </is>
      </c>
      <c r="L32" s="20" t="inlineStr">
        <is>
          <t>Closed</t>
        </is>
      </c>
      <c r="M32" s="20" t="inlineStr">
        <is>
          <t>GovExams</t>
        </is>
      </c>
      <c r="N32" s="20" t="inlineStr">
        <is>
          <t>Rohan Mehta</t>
        </is>
      </c>
      <c r="O32" s="23" t="n">
        <v>46202</v>
      </c>
      <c r="P32" s="23" t="n">
        <v>46231</v>
      </c>
      <c r="Q32" s="20" t="inlineStr"/>
      <c r="R32" s="20" t="inlineStr">
        <is>
          <t>1.0.0</t>
        </is>
      </c>
      <c r="S32" s="20" t="inlineStr">
        <is>
          <t>Sprint 27</t>
        </is>
      </c>
      <c r="T32" s="20" t="inlineStr">
        <is>
          <t>Design Gap</t>
        </is>
      </c>
      <c r="U32" s="20" t="inlineStr">
        <is>
          <t>Apply expand_gov_exam_mcq_seeds migration</t>
        </is>
      </c>
      <c r="V32" s="20" t="inlineStr"/>
      <c r="W32" s="20" t="inlineStr"/>
      <c r="X32" s="20" t="inlineStr">
        <is>
          <t>FIXED launch pass — retest bank size</t>
        </is>
      </c>
    </row>
    <row r="33">
      <c r="A33" s="19" t="inlineStr">
        <is>
          <t>BUG-OPEN-03</t>
        </is>
      </c>
      <c r="B33" s="19" t="inlineStr">
        <is>
          <t>Google Calendar sync returns 501</t>
        </is>
      </c>
      <c r="C33" s="19" t="inlineStr">
        <is>
          <t>Missing OAuth secrets in staging/prod</t>
        </is>
      </c>
      <c r="D33" s="19" t="inlineStr">
        <is>
          <t>Interviews &amp; Calendar</t>
        </is>
      </c>
      <c r="E33" s="19" t="inlineStr">
        <is>
          <t>Google Calendar sync</t>
        </is>
      </c>
      <c r="F33" s="19" t="inlineStr">
        <is>
          <t>Staging</t>
        </is>
      </c>
      <c r="G33" s="19" t="inlineStr">
        <is>
          <t>Chrome</t>
        </is>
      </c>
      <c r="H33" s="19" t="inlineStr">
        <is>
          <t>Laptop</t>
        </is>
      </c>
      <c r="I33" s="19" t="inlineStr">
        <is>
          <t>macOS</t>
        </is>
      </c>
      <c r="J33" s="19" t="inlineStr">
        <is>
          <t>High</t>
        </is>
      </c>
      <c r="K33" s="19" t="inlineStr">
        <is>
          <t>High</t>
        </is>
      </c>
      <c r="L33" s="19" t="inlineStr">
        <is>
          <t>Blocked</t>
        </is>
      </c>
      <c r="M33" s="19" t="inlineStr">
        <is>
          <t>Scheduling</t>
        </is>
      </c>
      <c r="N33" s="19" t="inlineStr">
        <is>
          <t>Priya Nair</t>
        </is>
      </c>
      <c r="O33" s="22" t="n">
        <v>46222</v>
      </c>
      <c r="P33" s="19" t="inlineStr"/>
      <c r="Q33" s="19" t="inlineStr"/>
      <c r="R33" s="19" t="inlineStr">
        <is>
          <t>1.0.0</t>
        </is>
      </c>
      <c r="S33" s="19" t="inlineStr">
        <is>
          <t>Sprint 26</t>
        </is>
      </c>
      <c r="T33" s="19" t="inlineStr">
        <is>
          <t>Config/Env</t>
        </is>
      </c>
      <c r="U33" s="19" t="inlineStr">
        <is>
          <t>Needs GOOGLE_CLIENT_ID/SECRET (+ refresh tokens) in Edge secrets</t>
        </is>
      </c>
      <c r="V33" s="19" t="inlineStr"/>
      <c r="W33" s="19" t="inlineStr"/>
      <c r="X33" s="19" t="inlineStr">
        <is>
          <t>Ops blocker — no fake fix</t>
        </is>
      </c>
    </row>
    <row r="34">
      <c r="A34" s="20" t="inlineStr">
        <is>
          <t>BUG-OPEN-04</t>
        </is>
      </c>
      <c r="B34" s="20" t="inlineStr">
        <is>
          <t>Mock interview has no TTS</t>
        </is>
      </c>
      <c r="C34" s="20" t="inlineStr">
        <is>
          <t>Questions not spoken aloud</t>
        </is>
      </c>
      <c r="D34" s="20" t="inlineStr">
        <is>
          <t>Mock Interview</t>
        </is>
      </c>
      <c r="E34" s="20" t="inlineStr">
        <is>
          <t>Mock TTS playback</t>
        </is>
      </c>
      <c r="F34" s="20" t="inlineStr">
        <is>
          <t>Staging</t>
        </is>
      </c>
      <c r="G34" s="20" t="inlineStr">
        <is>
          <t>Chrome</t>
        </is>
      </c>
      <c r="H34" s="20" t="inlineStr">
        <is>
          <t>Desktop</t>
        </is>
      </c>
      <c r="I34" s="20" t="inlineStr">
        <is>
          <t>Windows</t>
        </is>
      </c>
      <c r="J34" s="20" t="inlineStr">
        <is>
          <t>High</t>
        </is>
      </c>
      <c r="K34" s="20" t="inlineStr">
        <is>
          <t>High</t>
        </is>
      </c>
      <c r="L34" s="20" t="inlineStr">
        <is>
          <t>Open</t>
        </is>
      </c>
      <c r="M34" s="20" t="inlineStr">
        <is>
          <t>Live Coach</t>
        </is>
      </c>
      <c r="N34" s="20" t="inlineStr">
        <is>
          <t>Priya Nair</t>
        </is>
      </c>
      <c r="O34" s="23" t="n">
        <v>46204</v>
      </c>
      <c r="P34" s="20" t="inlineStr"/>
      <c r="Q34" s="20" t="inlineStr"/>
      <c r="R34" s="20" t="inlineStr">
        <is>
          <t>1.0.0</t>
        </is>
      </c>
      <c r="S34" s="20" t="inlineStr">
        <is>
          <t>Sprint 24</t>
        </is>
      </c>
      <c r="T34" s="20" t="inlineStr">
        <is>
          <t>Design Gap</t>
        </is>
      </c>
      <c r="U34" s="20" t="inlineStr"/>
      <c r="V34" s="20" t="inlineStr"/>
      <c r="W34" s="20" t="inlineStr"/>
      <c r="X34" s="20" t="inlineStr">
        <is>
          <t>Roadmap / descope</t>
        </is>
      </c>
    </row>
    <row r="35">
      <c r="A35" s="19" t="inlineStr">
        <is>
          <t>BUG-OPEN-05</t>
        </is>
      </c>
      <c r="B35" s="19" t="inlineStr">
        <is>
          <t>Gap analysis UI not fully wired</t>
        </is>
      </c>
      <c r="C35" s="19" t="inlineStr">
        <is>
          <t>JDDetail now runs gap-analysis + shows results/402</t>
        </is>
      </c>
      <c r="D35" s="19" t="inlineStr">
        <is>
          <t>Documents &amp; Resumes</t>
        </is>
      </c>
      <c r="E35" s="19" t="inlineStr">
        <is>
          <t>Resume vs JD gap analysis</t>
        </is>
      </c>
      <c r="F35" s="19" t="inlineStr">
        <is>
          <t>Staging</t>
        </is>
      </c>
      <c r="G35" s="19" t="inlineStr">
        <is>
          <t>Chrome</t>
        </is>
      </c>
      <c r="H35" s="19" t="inlineStr">
        <is>
          <t>Desktop</t>
        </is>
      </c>
      <c r="I35" s="19" t="inlineStr">
        <is>
          <t>Windows</t>
        </is>
      </c>
      <c r="J35" s="19" t="inlineStr">
        <is>
          <t>Medium</t>
        </is>
      </c>
      <c r="K35" s="19" t="inlineStr">
        <is>
          <t>High</t>
        </is>
      </c>
      <c r="L35" s="19" t="inlineStr">
        <is>
          <t>Closed</t>
        </is>
      </c>
      <c r="M35" s="19" t="inlineStr">
        <is>
          <t>Docs</t>
        </is>
      </c>
      <c r="N35" s="19" t="inlineStr">
        <is>
          <t>Priya Nair</t>
        </is>
      </c>
      <c r="O35" s="22" t="n">
        <v>46214</v>
      </c>
      <c r="P35" s="22" t="n">
        <v>46231</v>
      </c>
      <c r="Q35" s="19" t="inlineStr"/>
      <c r="R35" s="19" t="inlineStr">
        <is>
          <t>1.0.0</t>
        </is>
      </c>
      <c r="S35" s="19" t="inlineStr">
        <is>
          <t>Sprint 27</t>
        </is>
      </c>
      <c r="T35" s="19" t="inlineStr">
        <is>
          <t>Design Gap</t>
        </is>
      </c>
      <c r="U35" s="19" t="inlineStr">
        <is>
          <t>Retest JD gap panel with primary resume</t>
        </is>
      </c>
      <c r="V35" s="19" t="inlineStr"/>
      <c r="W35" s="19" t="inlineStr"/>
      <c r="X35" s="19" t="inlineStr">
        <is>
          <t>FIXED launch pass</t>
        </is>
      </c>
    </row>
    <row r="36">
      <c r="A36" s="20" t="inlineStr">
        <is>
          <t>BUG-OPEN-06</t>
        </is>
      </c>
      <c r="B36" s="20" t="inlineStr">
        <is>
          <t>Resume version history UI missing</t>
        </is>
      </c>
      <c r="C36" s="20" t="inlineStr">
        <is>
          <t>Read-only version list on ResumeDetail</t>
        </is>
      </c>
      <c r="D36" s="20" t="inlineStr">
        <is>
          <t>Documents &amp; Resumes</t>
        </is>
      </c>
      <c r="E36" s="20" t="inlineStr">
        <is>
          <t>Resume version history UI</t>
        </is>
      </c>
      <c r="F36" s="20" t="inlineStr">
        <is>
          <t>Staging</t>
        </is>
      </c>
      <c r="G36" s="20" t="inlineStr">
        <is>
          <t>Chrome</t>
        </is>
      </c>
      <c r="H36" s="20" t="inlineStr">
        <is>
          <t>Desktop</t>
        </is>
      </c>
      <c r="I36" s="20" t="inlineStr">
        <is>
          <t>Windows</t>
        </is>
      </c>
      <c r="J36" s="20" t="inlineStr">
        <is>
          <t>Medium</t>
        </is>
      </c>
      <c r="K36" s="20" t="inlineStr">
        <is>
          <t>Medium</t>
        </is>
      </c>
      <c r="L36" s="20" t="inlineStr">
        <is>
          <t>Closed</t>
        </is>
      </c>
      <c r="M36" s="20" t="inlineStr">
        <is>
          <t>Docs</t>
        </is>
      </c>
      <c r="N36" s="20" t="inlineStr">
        <is>
          <t>Priya Nair</t>
        </is>
      </c>
      <c r="O36" s="23" t="n">
        <v>46210</v>
      </c>
      <c r="P36" s="23" t="n">
        <v>46231</v>
      </c>
      <c r="Q36" s="20" t="inlineStr"/>
      <c r="R36" s="20" t="inlineStr">
        <is>
          <t>1.0.0</t>
        </is>
      </c>
      <c r="S36" s="20" t="inlineStr">
        <is>
          <t>Sprint 27</t>
        </is>
      </c>
      <c r="T36" s="20" t="inlineStr">
        <is>
          <t>Design Gap</t>
        </is>
      </c>
      <c r="U36" s="20" t="inlineStr">
        <is>
          <t>Confirm versions appear after re-parse</t>
        </is>
      </c>
      <c r="V36" s="20" t="inlineStr"/>
      <c r="W36" s="20" t="inlineStr"/>
      <c r="X36" s="20" t="inlineStr">
        <is>
          <t>FIXED launch pass</t>
        </is>
      </c>
    </row>
    <row r="37">
      <c r="A37" s="19" t="inlineStr">
        <is>
          <t>BUG-OPEN-07</t>
        </is>
      </c>
      <c r="B37" s="19" t="inlineStr">
        <is>
          <t>Outlook Calendar not built</t>
        </is>
      </c>
      <c r="C37" s="19" t="inlineStr">
        <is>
          <t>Type only</t>
        </is>
      </c>
      <c r="D37" s="19" t="inlineStr">
        <is>
          <t>Interviews &amp; Calendar</t>
        </is>
      </c>
      <c r="E37" s="19" t="inlineStr">
        <is>
          <t>Outlook Calendar</t>
        </is>
      </c>
      <c r="F37" s="19" t="inlineStr">
        <is>
          <t>N/A</t>
        </is>
      </c>
      <c r="G37" s="19" t="inlineStr">
        <is>
          <t>N/A</t>
        </is>
      </c>
      <c r="H37" s="19" t="inlineStr">
        <is>
          <t>Desktop</t>
        </is>
      </c>
      <c r="I37" s="19" t="inlineStr">
        <is>
          <t>Windows</t>
        </is>
      </c>
      <c r="J37" s="19" t="inlineStr">
        <is>
          <t>Medium</t>
        </is>
      </c>
      <c r="K37" s="19" t="inlineStr">
        <is>
          <t>Medium</t>
        </is>
      </c>
      <c r="L37" s="19" t="inlineStr">
        <is>
          <t>Won't Fix</t>
        </is>
      </c>
      <c r="M37" s="19" t="inlineStr">
        <is>
          <t>Scheduling</t>
        </is>
      </c>
      <c r="N37" s="19" t="inlineStr">
        <is>
          <t>Rohan Mehta</t>
        </is>
      </c>
      <c r="O37" s="22" t="n">
        <v>46192</v>
      </c>
      <c r="P37" s="19" t="inlineStr"/>
      <c r="Q37" s="19" t="inlineStr"/>
      <c r="R37" s="19" t="inlineStr">
        <is>
          <t>1.0.0</t>
        </is>
      </c>
      <c r="S37" s="19" t="inlineStr">
        <is>
          <t>Sprint 22</t>
        </is>
      </c>
      <c r="T37" s="19" t="inlineStr">
        <is>
          <t>Design Gap</t>
        </is>
      </c>
      <c r="U37" s="19" t="inlineStr">
        <is>
          <t>Descope until scheduled</t>
        </is>
      </c>
      <c r="V37" s="19" t="inlineStr"/>
      <c r="W37" s="19" t="inlineStr"/>
      <c r="X37" s="19" t="inlineStr"/>
    </row>
    <row r="38">
      <c r="A38" s="20" t="inlineStr">
        <is>
          <t>BUG-OPEN-08</t>
        </is>
      </c>
      <c r="B38" s="20" t="inlineStr">
        <is>
          <t>Email/push prefs never consumed</t>
        </is>
      </c>
      <c r="C38" s="20" t="inlineStr">
        <is>
          <t>send-email gates on prefs; UI honesty for push/digest</t>
        </is>
      </c>
      <c r="D38" s="20" t="inlineStr">
        <is>
          <t>Notifications &amp; Profile</t>
        </is>
      </c>
      <c r="E38" s="20" t="inlineStr">
        <is>
          <t>Email notification prefs</t>
        </is>
      </c>
      <c r="F38" s="20" t="inlineStr">
        <is>
          <t>Staging</t>
        </is>
      </c>
      <c r="G38" s="20" t="inlineStr">
        <is>
          <t>Chrome</t>
        </is>
      </c>
      <c r="H38" s="20" t="inlineStr">
        <is>
          <t>Desktop</t>
        </is>
      </c>
      <c r="I38" s="20" t="inlineStr">
        <is>
          <t>Windows</t>
        </is>
      </c>
      <c r="J38" s="20" t="inlineStr">
        <is>
          <t>Medium</t>
        </is>
      </c>
      <c r="K38" s="20" t="inlineStr">
        <is>
          <t>Medium</t>
        </is>
      </c>
      <c r="L38" s="20" t="inlineStr">
        <is>
          <t>Closed</t>
        </is>
      </c>
      <c r="M38" s="20" t="inlineStr">
        <is>
          <t>Growth</t>
        </is>
      </c>
      <c r="N38" s="20" t="inlineStr">
        <is>
          <t>Rohan Mehta</t>
        </is>
      </c>
      <c r="O38" s="23" t="n">
        <v>46212</v>
      </c>
      <c r="P38" s="23" t="n">
        <v>46231</v>
      </c>
      <c r="Q38" s="20" t="inlineStr"/>
      <c r="R38" s="20" t="inlineStr">
        <is>
          <t>1.0.0</t>
        </is>
      </c>
      <c r="S38" s="20" t="inlineStr">
        <is>
          <t>Sprint 27</t>
        </is>
      </c>
      <c r="T38" s="20" t="inlineStr">
        <is>
          <t>Logic Bug</t>
        </is>
      </c>
      <c r="U38" s="20" t="inlineStr">
        <is>
          <t>Toggle off debrief_ready and confirm skip</t>
        </is>
      </c>
      <c r="V38" s="20" t="inlineStr"/>
      <c r="W38" s="20" t="inlineStr"/>
      <c r="X38" s="20" t="inlineStr">
        <is>
          <t>FIXED launch pass</t>
        </is>
      </c>
    </row>
    <row r="39">
      <c r="A39" s="19" t="inlineStr">
        <is>
          <t>BUG-OPEN-09</t>
        </is>
      </c>
      <c r="B39" s="19" t="inlineStr">
        <is>
          <t>Push notifications not implemented</t>
        </is>
      </c>
      <c r="C39" s="19" t="inlineStr">
        <is>
          <t>Permission prompt only</t>
        </is>
      </c>
      <c r="D39" s="19" t="inlineStr">
        <is>
          <t>Notifications &amp; Profile</t>
        </is>
      </c>
      <c r="E39" s="19" t="inlineStr">
        <is>
          <t>Push notifications</t>
        </is>
      </c>
      <c r="F39" s="19" t="inlineStr">
        <is>
          <t>Staging</t>
        </is>
      </c>
      <c r="G39" s="19" t="inlineStr">
        <is>
          <t>Chrome</t>
        </is>
      </c>
      <c r="H39" s="19" t="inlineStr">
        <is>
          <t>Desktop</t>
        </is>
      </c>
      <c r="I39" s="19" t="inlineStr">
        <is>
          <t>Windows</t>
        </is>
      </c>
      <c r="J39" s="19" t="inlineStr">
        <is>
          <t>Low</t>
        </is>
      </c>
      <c r="K39" s="19" t="inlineStr">
        <is>
          <t>Low</t>
        </is>
      </c>
      <c r="L39" s="19" t="inlineStr">
        <is>
          <t>Open</t>
        </is>
      </c>
      <c r="M39" s="19" t="inlineStr">
        <is>
          <t>Growth</t>
        </is>
      </c>
      <c r="N39" s="19" t="inlineStr">
        <is>
          <t>Rohan Mehta</t>
        </is>
      </c>
      <c r="O39" s="22" t="n">
        <v>46197</v>
      </c>
      <c r="P39" s="19" t="inlineStr"/>
      <c r="Q39" s="19" t="inlineStr"/>
      <c r="R39" s="19" t="inlineStr">
        <is>
          <t>1.0.0</t>
        </is>
      </c>
      <c r="S39" s="19" t="inlineStr">
        <is>
          <t>Sprint 22</t>
        </is>
      </c>
      <c r="T39" s="19" t="inlineStr">
        <is>
          <t>Design Gap</t>
        </is>
      </c>
      <c r="U39" s="19" t="inlineStr"/>
      <c r="V39" s="19" t="inlineStr"/>
      <c r="W39" s="19" t="inlineStr"/>
      <c r="X39" s="19" t="inlineStr">
        <is>
          <t>Missing / descope</t>
        </is>
      </c>
    </row>
    <row r="40">
      <c r="A40" s="20" t="inlineStr">
        <is>
          <t>BUG-OPEN-10</t>
        </is>
      </c>
      <c r="B40" s="20" t="inlineStr">
        <is>
          <t>Mobile nav missing destinations</t>
        </is>
      </c>
      <c r="C40" s="20" t="inlineStr">
        <is>
          <t>Usage + Interview Day added to MobileNav More</t>
        </is>
      </c>
      <c r="D40" s="20" t="inlineStr">
        <is>
          <t>Dashboard</t>
        </is>
      </c>
      <c r="E40" s="20" t="inlineStr">
        <is>
          <t>Mobile navigation</t>
        </is>
      </c>
      <c r="F40" s="20" t="inlineStr">
        <is>
          <t>Staging</t>
        </is>
      </c>
      <c r="G40" s="20" t="inlineStr">
        <is>
          <t>Chrome</t>
        </is>
      </c>
      <c r="H40" s="20" t="inlineStr">
        <is>
          <t>Android Phone</t>
        </is>
      </c>
      <c r="I40" s="20" t="inlineStr">
        <is>
          <t>Android</t>
        </is>
      </c>
      <c r="J40" s="20" t="inlineStr">
        <is>
          <t>Medium</t>
        </is>
      </c>
      <c r="K40" s="20" t="inlineStr">
        <is>
          <t>Medium</t>
        </is>
      </c>
      <c r="L40" s="20" t="inlineStr">
        <is>
          <t>Closed</t>
        </is>
      </c>
      <c r="M40" s="20" t="inlineStr">
        <is>
          <t>Product</t>
        </is>
      </c>
      <c r="N40" s="20" t="inlineStr">
        <is>
          <t>Rohan Mehta</t>
        </is>
      </c>
      <c r="O40" s="23" t="n">
        <v>46218</v>
      </c>
      <c r="P40" s="23" t="n">
        <v>46231</v>
      </c>
      <c r="Q40" s="20" t="inlineStr"/>
      <c r="R40" s="20" t="inlineStr">
        <is>
          <t>1.0.0</t>
        </is>
      </c>
      <c r="S40" s="20" t="inlineStr">
        <is>
          <t>Sprint 27</t>
        </is>
      </c>
      <c r="T40" s="20" t="inlineStr">
        <is>
          <t>UI Regression</t>
        </is>
      </c>
      <c r="U40" s="20" t="inlineStr">
        <is>
          <t>Compare MobileNav More vs sidebar</t>
        </is>
      </c>
      <c r="V40" s="20" t="inlineStr"/>
      <c r="W40" s="20" t="inlineStr"/>
      <c r="X40" s="20" t="inlineStr">
        <is>
          <t>FIXED launch pass</t>
        </is>
      </c>
    </row>
    <row r="41">
      <c r="A41" s="19" t="inlineStr">
        <is>
          <t>BUG-OPEN-11</t>
        </is>
      </c>
      <c r="B41" s="19" t="inlineStr">
        <is>
          <t>Stealth mode is cosmetic only</t>
        </is>
      </c>
      <c r="C41" s="19" t="inlineStr">
        <is>
          <t>No capture evasion</t>
        </is>
      </c>
      <c r="D41" s="19" t="inlineStr">
        <is>
          <t>Live Practice Coach</t>
        </is>
      </c>
      <c r="E41" s="19" t="inlineStr">
        <is>
          <t>Stealth mode</t>
        </is>
      </c>
      <c r="F41" s="19" t="inlineStr">
        <is>
          <t>Electron Dev</t>
        </is>
      </c>
      <c r="G41" s="19" t="inlineStr">
        <is>
          <t>Electron</t>
        </is>
      </c>
      <c r="H41" s="19" t="inlineStr">
        <is>
          <t>Desktop</t>
        </is>
      </c>
      <c r="I41" s="19" t="inlineStr">
        <is>
          <t>Windows</t>
        </is>
      </c>
      <c r="J41" s="19" t="inlineStr">
        <is>
          <t>Medium</t>
        </is>
      </c>
      <c r="K41" s="19" t="inlineStr">
        <is>
          <t>Medium</t>
        </is>
      </c>
      <c r="L41" s="19" t="inlineStr">
        <is>
          <t>Open</t>
        </is>
      </c>
      <c r="M41" s="19" t="inlineStr">
        <is>
          <t>Desktop</t>
        </is>
      </c>
      <c r="N41" s="19" t="inlineStr">
        <is>
          <t>Dev Patel</t>
        </is>
      </c>
      <c r="O41" s="22" t="n">
        <v>46216</v>
      </c>
      <c r="P41" s="19" t="inlineStr"/>
      <c r="Q41" s="19" t="inlineStr"/>
      <c r="R41" s="19" t="inlineStr">
        <is>
          <t>1.0.0</t>
        </is>
      </c>
      <c r="S41" s="19" t="inlineStr">
        <is>
          <t>Sprint 25</t>
        </is>
      </c>
      <c r="T41" s="19" t="inlineStr">
        <is>
          <t>Design Gap</t>
        </is>
      </c>
      <c r="U41" s="19" t="inlineStr"/>
      <c r="V41" s="19" t="inlineStr"/>
      <c r="W41" s="19" t="inlineStr"/>
      <c r="X41" s="19" t="inlineStr">
        <is>
          <t>Roadmap / descope</t>
        </is>
      </c>
    </row>
    <row r="42">
      <c r="A42" s="20" t="inlineStr">
        <is>
          <t>BUG-OPEN-12</t>
        </is>
      </c>
      <c r="B42" s="20" t="inlineStr">
        <is>
          <t>Admin model costs save is stub</t>
        </is>
      </c>
      <c r="C42" s="20" t="inlineStr">
        <is>
          <t>Read-only AI_CREDIT_COSTS catalog; fake Save removed</t>
        </is>
      </c>
      <c r="D42" s="20" t="inlineStr">
        <is>
          <t>Admin Portal</t>
        </is>
      </c>
      <c r="E42" s="20" t="inlineStr">
        <is>
          <t>Admin model costs</t>
        </is>
      </c>
      <c r="F42" s="20" t="inlineStr">
        <is>
          <t>Staging</t>
        </is>
      </c>
      <c r="G42" s="20" t="inlineStr">
        <is>
          <t>Chrome</t>
        </is>
      </c>
      <c r="H42" s="20" t="inlineStr">
        <is>
          <t>Desktop</t>
        </is>
      </c>
      <c r="I42" s="20" t="inlineStr">
        <is>
          <t>Windows</t>
        </is>
      </c>
      <c r="J42" s="20" t="inlineStr">
        <is>
          <t>Medium</t>
        </is>
      </c>
      <c r="K42" s="20" t="inlineStr">
        <is>
          <t>Medium</t>
        </is>
      </c>
      <c r="L42" s="20" t="inlineStr">
        <is>
          <t>Closed</t>
        </is>
      </c>
      <c r="M42" s="20" t="inlineStr">
        <is>
          <t>Admin</t>
        </is>
      </c>
      <c r="N42" s="20" t="inlineStr">
        <is>
          <t>Rohan Mehta</t>
        </is>
      </c>
      <c r="O42" s="23" t="n">
        <v>46214</v>
      </c>
      <c r="P42" s="23" t="n">
        <v>46231</v>
      </c>
      <c r="Q42" s="20" t="inlineStr"/>
      <c r="R42" s="20" t="inlineStr">
        <is>
          <t>1.0.0</t>
        </is>
      </c>
      <c r="S42" s="20" t="inlineStr">
        <is>
          <t>Sprint 27</t>
        </is>
      </c>
      <c r="T42" s="20" t="inlineStr">
        <is>
          <t>Logic Bug</t>
        </is>
      </c>
      <c r="U42" s="20" t="inlineStr">
        <is>
          <t>Confirm no Save; values match creditEconomics</t>
        </is>
      </c>
      <c r="V42" s="20" t="inlineStr"/>
      <c r="W42" s="20" t="inlineStr"/>
      <c r="X42" s="20" t="inlineStr">
        <is>
          <t>FIXED launch pass</t>
        </is>
      </c>
    </row>
    <row r="43">
      <c r="A43" s="19" t="inlineStr">
        <is>
          <t>BUG-OPEN-13</t>
        </is>
      </c>
      <c r="B43" s="19" t="inlineStr">
        <is>
          <t>Admin support page read-only</t>
        </is>
      </c>
      <c r="C43" s="19" t="inlineStr">
        <is>
          <t>Deep-linked to Live Chat for replies</t>
        </is>
      </c>
      <c r="D43" s="19" t="inlineStr">
        <is>
          <t>Admin Portal</t>
        </is>
      </c>
      <c r="E43" s="19" t="inlineStr">
        <is>
          <t>Admin support page</t>
        </is>
      </c>
      <c r="F43" s="19" t="inlineStr">
        <is>
          <t>Staging</t>
        </is>
      </c>
      <c r="G43" s="19" t="inlineStr">
        <is>
          <t>Chrome</t>
        </is>
      </c>
      <c r="H43" s="19" t="inlineStr">
        <is>
          <t>Desktop</t>
        </is>
      </c>
      <c r="I43" s="19" t="inlineStr">
        <is>
          <t>Windows</t>
        </is>
      </c>
      <c r="J43" s="19" t="inlineStr">
        <is>
          <t>Low</t>
        </is>
      </c>
      <c r="K43" s="19" t="inlineStr">
        <is>
          <t>Low</t>
        </is>
      </c>
      <c r="L43" s="19" t="inlineStr">
        <is>
          <t>Closed</t>
        </is>
      </c>
      <c r="M43" s="19" t="inlineStr">
        <is>
          <t>Admin</t>
        </is>
      </c>
      <c r="N43" s="19" t="inlineStr">
        <is>
          <t>Rohan Mehta</t>
        </is>
      </c>
      <c r="O43" s="22" t="n">
        <v>46220</v>
      </c>
      <c r="P43" s="22" t="n">
        <v>46231</v>
      </c>
      <c r="Q43" s="19" t="inlineStr"/>
      <c r="R43" s="19" t="inlineStr">
        <is>
          <t>1.0.0</t>
        </is>
      </c>
      <c r="S43" s="19" t="inlineStr">
        <is>
          <t>Sprint 27</t>
        </is>
      </c>
      <c r="T43" s="19" t="inlineStr">
        <is>
          <t>Design Gap</t>
        </is>
      </c>
      <c r="U43" s="19" t="inlineStr">
        <is>
          <t>Open Support → Live Chat CTA</t>
        </is>
      </c>
      <c r="V43" s="19" t="inlineStr"/>
      <c r="W43" s="19" t="inlineStr"/>
      <c r="X43" s="19" t="inlineStr">
        <is>
          <t>FIXED launch pass</t>
        </is>
      </c>
    </row>
    <row r="44">
      <c r="A44" s="20" t="inlineStr">
        <is>
          <t>BUG-OPEN-14</t>
        </is>
      </c>
      <c r="B44" s="20" t="inlineStr">
        <is>
          <t>Admin QA checklist local only</t>
        </is>
      </c>
      <c r="C44" s="20" t="inlineStr">
        <is>
          <t>Honesty banner: localStorage this browser only</t>
        </is>
      </c>
      <c r="D44" s="20" t="inlineStr">
        <is>
          <t>Admin Portal</t>
        </is>
      </c>
      <c r="E44" s="20" t="inlineStr">
        <is>
          <t>Admin QA checklist</t>
        </is>
      </c>
      <c r="F44" s="20" t="inlineStr">
        <is>
          <t>Staging</t>
        </is>
      </c>
      <c r="G44" s="20" t="inlineStr">
        <is>
          <t>Chrome</t>
        </is>
      </c>
      <c r="H44" s="20" t="inlineStr">
        <is>
          <t>Desktop</t>
        </is>
      </c>
      <c r="I44" s="20" t="inlineStr">
        <is>
          <t>Windows</t>
        </is>
      </c>
      <c r="J44" s="20" t="inlineStr">
        <is>
          <t>Low</t>
        </is>
      </c>
      <c r="K44" s="20" t="inlineStr">
        <is>
          <t>Low</t>
        </is>
      </c>
      <c r="L44" s="20" t="inlineStr">
        <is>
          <t>Closed</t>
        </is>
      </c>
      <c r="M44" s="20" t="inlineStr">
        <is>
          <t>Admin</t>
        </is>
      </c>
      <c r="N44" s="20" t="inlineStr">
        <is>
          <t>Kavya Iyer</t>
        </is>
      </c>
      <c r="O44" s="23" t="n">
        <v>46220</v>
      </c>
      <c r="P44" s="23" t="n">
        <v>46231</v>
      </c>
      <c r="Q44" s="20" t="inlineStr"/>
      <c r="R44" s="20" t="inlineStr">
        <is>
          <t>1.0.0</t>
        </is>
      </c>
      <c r="S44" s="20" t="inlineStr">
        <is>
          <t>Sprint 27</t>
        </is>
      </c>
      <c r="T44" s="20" t="inlineStr">
        <is>
          <t>Design Gap</t>
        </is>
      </c>
      <c r="U44" s="20" t="inlineStr">
        <is>
          <t>Confirm banner; no multi-user pretend</t>
        </is>
      </c>
      <c r="V44" s="20" t="inlineStr"/>
      <c r="W44" s="20" t="inlineStr"/>
      <c r="X44" s="20" t="inlineStr">
        <is>
          <t>FIXED launch pass (documented)</t>
        </is>
      </c>
    </row>
    <row r="45">
      <c r="A45" s="19" t="inlineStr">
        <is>
          <t>BUG-OPEN-15</t>
        </is>
      </c>
      <c r="B45" s="19" t="inlineStr">
        <is>
          <t>Exam papers browser mostly empty</t>
        </is>
      </c>
      <c r="C45" s="19" t="inlineStr">
        <is>
          <t>Many paper entries empty</t>
        </is>
      </c>
      <c r="D45" s="19" t="inlineStr">
        <is>
          <t>Gov Exam Mock Tests</t>
        </is>
      </c>
      <c r="E45" s="19" t="inlineStr">
        <is>
          <t>Exam papers browser</t>
        </is>
      </c>
      <c r="F45" s="19" t="inlineStr">
        <is>
          <t>Staging</t>
        </is>
      </c>
      <c r="G45" s="19" t="inlineStr">
        <is>
          <t>Chrome</t>
        </is>
      </c>
      <c r="H45" s="19" t="inlineStr">
        <is>
          <t>Desktop</t>
        </is>
      </c>
      <c r="I45" s="19" t="inlineStr">
        <is>
          <t>Windows</t>
        </is>
      </c>
      <c r="J45" s="19" t="inlineStr">
        <is>
          <t>Medium</t>
        </is>
      </c>
      <c r="K45" s="19" t="inlineStr">
        <is>
          <t>Medium</t>
        </is>
      </c>
      <c r="L45" s="19" t="inlineStr">
        <is>
          <t>Open</t>
        </is>
      </c>
      <c r="M45" s="19" t="inlineStr">
        <is>
          <t>GovExams</t>
        </is>
      </c>
      <c r="N45" s="19" t="inlineStr">
        <is>
          <t>Rohan Mehta</t>
        </is>
      </c>
      <c r="O45" s="22" t="n">
        <v>46212</v>
      </c>
      <c r="P45" s="19" t="inlineStr"/>
      <c r="Q45" s="19" t="inlineStr"/>
      <c r="R45" s="19" t="inlineStr">
        <is>
          <t>1.0.0</t>
        </is>
      </c>
      <c r="S45" s="19" t="inlineStr">
        <is>
          <t>Sprint 25</t>
        </is>
      </c>
      <c r="T45" s="19" t="inlineStr">
        <is>
          <t>Design Gap</t>
        </is>
      </c>
      <c r="U45" s="19" t="inlineStr"/>
      <c r="V45" s="19" t="inlineStr"/>
      <c r="W45" s="19" t="inlineStr"/>
      <c r="X45" s="19" t="inlineStr"/>
    </row>
    <row r="46">
      <c r="A46" s="20" t="inlineStr">
        <is>
          <t>BUG-OPEN-16</t>
        </is>
      </c>
      <c r="B46" s="20" t="inlineStr">
        <is>
          <t>Question scraper not deployed</t>
        </is>
      </c>
      <c r="C46" s="20" t="inlineStr">
        <is>
          <t>Code complete; no deploy</t>
        </is>
      </c>
      <c r="D46" s="20" t="inlineStr">
        <is>
          <t>Gov Exam Mock Tests</t>
        </is>
      </c>
      <c r="E46" s="20" t="inlineStr">
        <is>
          <t>Python scraper service</t>
        </is>
      </c>
      <c r="F46" s="20" t="inlineStr">
        <is>
          <t>N/A</t>
        </is>
      </c>
      <c r="G46" s="20" t="inlineStr">
        <is>
          <t>N/A</t>
        </is>
      </c>
      <c r="H46" s="20" t="inlineStr">
        <is>
          <t>Desktop</t>
        </is>
      </c>
      <c r="I46" s="20" t="inlineStr">
        <is>
          <t>Linux</t>
        </is>
      </c>
      <c r="J46" s="20" t="inlineStr">
        <is>
          <t>High</t>
        </is>
      </c>
      <c r="K46" s="20" t="inlineStr">
        <is>
          <t>High</t>
        </is>
      </c>
      <c r="L46" s="20" t="inlineStr">
        <is>
          <t>Open</t>
        </is>
      </c>
      <c r="M46" s="20" t="inlineStr">
        <is>
          <t>GovExams</t>
        </is>
      </c>
      <c r="N46" s="20" t="inlineStr">
        <is>
          <t>Rohan Mehta</t>
        </is>
      </c>
      <c r="O46" s="23" t="n">
        <v>46197</v>
      </c>
      <c r="P46" s="20" t="inlineStr"/>
      <c r="Q46" s="20" t="inlineStr"/>
      <c r="R46" s="20" t="inlineStr">
        <is>
          <t>1.0.0</t>
        </is>
      </c>
      <c r="S46" s="20" t="inlineStr">
        <is>
          <t>Sprint 22</t>
        </is>
      </c>
      <c r="T46" s="20" t="inlineStr">
        <is>
          <t>Config/Env</t>
        </is>
      </c>
      <c r="U46" s="20" t="inlineStr"/>
      <c r="V46" s="20" t="inlineStr"/>
      <c r="W46" s="20" t="inlineStr"/>
      <c r="X46" s="20" t="inlineStr">
        <is>
          <t>defer-with-roadmap</t>
        </is>
      </c>
    </row>
    <row r="47">
      <c r="A47" s="19" t="inlineStr">
        <is>
          <t>BUG-OPEN-17</t>
        </is>
      </c>
      <c r="B47" s="19" t="inlineStr">
        <is>
          <t>collect-exam-papers brittle</t>
        </is>
      </c>
      <c r="C47" s="19" t="inlineStr">
        <is>
          <t>Allowlist hosts / Gemini failures</t>
        </is>
      </c>
      <c r="D47" s="19" t="inlineStr">
        <is>
          <t>Gov Exam Mock Tests</t>
        </is>
      </c>
      <c r="E47" s="19" t="inlineStr">
        <is>
          <t>Collect exam papers</t>
        </is>
      </c>
      <c r="F47" s="19" t="inlineStr">
        <is>
          <t>Staging</t>
        </is>
      </c>
      <c r="G47" s="19" t="inlineStr">
        <is>
          <t>Chrome</t>
        </is>
      </c>
      <c r="H47" s="19" t="inlineStr">
        <is>
          <t>Desktop</t>
        </is>
      </c>
      <c r="I47" s="19" t="inlineStr">
        <is>
          <t>Windows</t>
        </is>
      </c>
      <c r="J47" s="19" t="inlineStr">
        <is>
          <t>Medium</t>
        </is>
      </c>
      <c r="K47" s="19" t="inlineStr">
        <is>
          <t>High</t>
        </is>
      </c>
      <c r="L47" s="19" t="inlineStr">
        <is>
          <t>Blocked</t>
        </is>
      </c>
      <c r="M47" s="19" t="inlineStr">
        <is>
          <t>GovExams</t>
        </is>
      </c>
      <c r="N47" s="19" t="inlineStr">
        <is>
          <t>Rohan Mehta</t>
        </is>
      </c>
      <c r="O47" s="22" t="n">
        <v>46224</v>
      </c>
      <c r="P47" s="19" t="inlineStr"/>
      <c r="Q47" s="19" t="inlineStr"/>
      <c r="R47" s="19" t="inlineStr">
        <is>
          <t>1.0.0</t>
        </is>
      </c>
      <c r="S47" s="19" t="inlineStr">
        <is>
          <t>Sprint 26</t>
        </is>
      </c>
      <c r="T47" s="19" t="inlineStr">
        <is>
          <t>Third-party</t>
        </is>
      </c>
      <c r="U47" s="19" t="inlineStr">
        <is>
          <t>Needs GEMINI_API_KEY + allowlisted hosts</t>
        </is>
      </c>
      <c r="V47" s="19" t="inlineStr"/>
      <c r="W47" s="19" t="inlineStr"/>
      <c r="X47" s="19" t="inlineStr">
        <is>
          <t>Ops/provider blocker</t>
        </is>
      </c>
    </row>
    <row r="48">
      <c r="A48" s="20" t="inlineStr">
        <is>
          <t>BUG-OPEN-18</t>
        </is>
      </c>
      <c r="B48" s="20" t="inlineStr">
        <is>
          <t>Windows binaries unsigned</t>
        </is>
      </c>
      <c r="C48" s="20" t="inlineStr">
        <is>
          <t>SmartScreen; signAndEditExecutable false</t>
        </is>
      </c>
      <c r="D48" s="20" t="inlineStr">
        <is>
          <t>Electron Desktop Overlay</t>
        </is>
      </c>
      <c r="E48" s="20" t="inlineStr">
        <is>
          <t>Code signing Windows</t>
        </is>
      </c>
      <c r="F48" s="20" t="inlineStr">
        <is>
          <t>Production</t>
        </is>
      </c>
      <c r="G48" s="20" t="inlineStr">
        <is>
          <t>N/A</t>
        </is>
      </c>
      <c r="H48" s="20" t="inlineStr">
        <is>
          <t>Desktop</t>
        </is>
      </c>
      <c r="I48" s="20" t="inlineStr">
        <is>
          <t>Windows</t>
        </is>
      </c>
      <c r="J48" s="20" t="inlineStr">
        <is>
          <t>High</t>
        </is>
      </c>
      <c r="K48" s="20" t="inlineStr">
        <is>
          <t>High</t>
        </is>
      </c>
      <c r="L48" s="20" t="inlineStr">
        <is>
          <t>Blocked</t>
        </is>
      </c>
      <c r="M48" s="20" t="inlineStr">
        <is>
          <t>Desktop</t>
        </is>
      </c>
      <c r="N48" s="20" t="inlineStr">
        <is>
          <t>Dev Patel</t>
        </is>
      </c>
      <c r="O48" s="23" t="n">
        <v>46192</v>
      </c>
      <c r="P48" s="20" t="inlineStr"/>
      <c r="Q48" s="20" t="inlineStr"/>
      <c r="R48" s="20" t="inlineStr">
        <is>
          <t>1.0.0</t>
        </is>
      </c>
      <c r="S48" s="20" t="inlineStr">
        <is>
          <t>Sprint 22</t>
        </is>
      </c>
      <c r="T48" s="20" t="inlineStr">
        <is>
          <t>Config/Env</t>
        </is>
      </c>
      <c r="U48" s="20" t="inlineStr">
        <is>
          <t>Needs EV/OV code-signing certificate</t>
        </is>
      </c>
      <c r="V48" s="20" t="inlineStr"/>
      <c r="W48" s="20" t="inlineStr"/>
      <c r="X48" s="20" t="inlineStr">
        <is>
          <t>Ops blocker — no fake fix</t>
        </is>
      </c>
    </row>
    <row r="49">
      <c r="A49" s="19" t="inlineStr">
        <is>
          <t>BUG-OPEN-19</t>
        </is>
      </c>
      <c r="B49" s="19" t="inlineStr">
        <is>
          <t>Electron auto-update trust weak</t>
        </is>
      </c>
      <c r="C49" s="19" t="inlineStr">
        <is>
          <t>Unsigned update chain</t>
        </is>
      </c>
      <c r="D49" s="19" t="inlineStr">
        <is>
          <t>Electron Desktop Overlay</t>
        </is>
      </c>
      <c r="E49" s="19" t="inlineStr">
        <is>
          <t>Auto-update</t>
        </is>
      </c>
      <c r="F49" s="19" t="inlineStr">
        <is>
          <t>Production</t>
        </is>
      </c>
      <c r="G49" s="19" t="inlineStr">
        <is>
          <t>N/A</t>
        </is>
      </c>
      <c r="H49" s="19" t="inlineStr">
        <is>
          <t>Desktop</t>
        </is>
      </c>
      <c r="I49" s="19" t="inlineStr">
        <is>
          <t>Windows</t>
        </is>
      </c>
      <c r="J49" s="19" t="inlineStr">
        <is>
          <t>High</t>
        </is>
      </c>
      <c r="K49" s="19" t="inlineStr">
        <is>
          <t>High</t>
        </is>
      </c>
      <c r="L49" s="19" t="inlineStr">
        <is>
          <t>Blocked</t>
        </is>
      </c>
      <c r="M49" s="19" t="inlineStr">
        <is>
          <t>Desktop</t>
        </is>
      </c>
      <c r="N49" s="19" t="inlineStr">
        <is>
          <t>Dev Patel</t>
        </is>
      </c>
      <c r="O49" s="22" t="n">
        <v>46202</v>
      </c>
      <c r="P49" s="19" t="inlineStr"/>
      <c r="Q49" s="19" t="inlineStr"/>
      <c r="R49" s="19" t="inlineStr">
        <is>
          <t>1.0.0</t>
        </is>
      </c>
      <c r="S49" s="19" t="inlineStr">
        <is>
          <t>Sprint 23</t>
        </is>
      </c>
      <c r="T49" s="19" t="inlineStr">
        <is>
          <t>Config/Env</t>
        </is>
      </c>
      <c r="U49" s="19" t="inlineStr">
        <is>
          <t>Depends on EV/OV signing cert</t>
        </is>
      </c>
      <c r="V49" s="19" t="inlineStr"/>
      <c r="W49" s="19" t="inlineStr"/>
      <c r="X49" s="19" t="inlineStr">
        <is>
          <t>Ops blocker</t>
        </is>
      </c>
    </row>
    <row r="50">
      <c r="A50" s="20" t="inlineStr">
        <is>
          <t>BUG-OPEN-20</t>
        </is>
      </c>
      <c r="B50" s="20" t="inlineStr">
        <is>
          <t>Low automated test coverage</t>
        </is>
      </c>
      <c r="C50" s="20" t="inlineStr">
        <is>
          <t>~5% real coverage; 794 it.todo placeholders</t>
        </is>
      </c>
      <c r="D50" s="20" t="inlineStr">
        <is>
          <t>Security &amp; Platform</t>
        </is>
      </c>
      <c r="E50" s="20" t="inlineStr">
        <is>
          <t>Unit/E2E coverage</t>
        </is>
      </c>
      <c r="F50" s="20" t="inlineStr">
        <is>
          <t>CI</t>
        </is>
      </c>
      <c r="G50" s="20" t="inlineStr">
        <is>
          <t>N/A</t>
        </is>
      </c>
      <c r="H50" s="20" t="inlineStr">
        <is>
          <t>Desktop</t>
        </is>
      </c>
      <c r="I50" s="20" t="inlineStr">
        <is>
          <t>Windows</t>
        </is>
      </c>
      <c r="J50" s="20" t="inlineStr">
        <is>
          <t>High</t>
        </is>
      </c>
      <c r="K50" s="20" t="inlineStr">
        <is>
          <t>High</t>
        </is>
      </c>
      <c r="L50" s="20" t="inlineStr">
        <is>
          <t>Open</t>
        </is>
      </c>
      <c r="M50" s="20" t="inlineStr">
        <is>
          <t>Platform</t>
        </is>
      </c>
      <c r="N50" s="20" t="inlineStr">
        <is>
          <t>Dev Patel</t>
        </is>
      </c>
      <c r="O50" s="23" t="n">
        <v>46187</v>
      </c>
      <c r="P50" s="20" t="inlineStr"/>
      <c r="Q50" s="20" t="inlineStr"/>
      <c r="R50" s="20" t="inlineStr">
        <is>
          <t>1.0.0</t>
        </is>
      </c>
      <c r="S50" s="20" t="inlineStr">
        <is>
          <t>Sprint 20</t>
        </is>
      </c>
      <c r="T50" s="20" t="inlineStr">
        <is>
          <t>Design Gap</t>
        </is>
      </c>
      <c r="U50" s="20" t="inlineStr"/>
      <c r="V50" s="20" t="inlineStr"/>
      <c r="W50" s="20" t="inlineStr"/>
      <c r="X50" s="20" t="inlineStr">
        <is>
          <t>P4-4 ongoing</t>
        </is>
      </c>
    </row>
    <row r="51">
      <c r="A51" s="19" t="inlineStr">
        <is>
          <t>BUG-OPEN-21</t>
        </is>
      </c>
      <c r="B51" s="19" t="inlineStr">
        <is>
          <t>No Playwright run evidence</t>
        </is>
      </c>
      <c r="C51" s="19" t="inlineStr">
        <is>
          <t>10 specs; no report artifacts</t>
        </is>
      </c>
      <c r="D51" s="19" t="inlineStr">
        <is>
          <t>Security &amp; Platform</t>
        </is>
      </c>
      <c r="E51" s="19" t="inlineStr">
        <is>
          <t>Unit/E2E coverage</t>
        </is>
      </c>
      <c r="F51" s="19" t="inlineStr">
        <is>
          <t>CI</t>
        </is>
      </c>
      <c r="G51" s="19" t="inlineStr">
        <is>
          <t>N/A</t>
        </is>
      </c>
      <c r="H51" s="19" t="inlineStr">
        <is>
          <t>Desktop</t>
        </is>
      </c>
      <c r="I51" s="19" t="inlineStr">
        <is>
          <t>Windows</t>
        </is>
      </c>
      <c r="J51" s="19" t="inlineStr">
        <is>
          <t>Medium</t>
        </is>
      </c>
      <c r="K51" s="19" t="inlineStr">
        <is>
          <t>High</t>
        </is>
      </c>
      <c r="L51" s="19" t="inlineStr">
        <is>
          <t>Open</t>
        </is>
      </c>
      <c r="M51" s="19" t="inlineStr">
        <is>
          <t>Platform</t>
        </is>
      </c>
      <c r="N51" s="19" t="inlineStr">
        <is>
          <t>Dev Patel</t>
        </is>
      </c>
      <c r="O51" s="22" t="n">
        <v>46187</v>
      </c>
      <c r="P51" s="19" t="inlineStr"/>
      <c r="Q51" s="19" t="inlineStr"/>
      <c r="R51" s="19" t="inlineStr">
        <is>
          <t>1.0.0</t>
        </is>
      </c>
      <c r="S51" s="19" t="inlineStr">
        <is>
          <t>Sprint 20</t>
        </is>
      </c>
      <c r="T51" s="19" t="inlineStr">
        <is>
          <t>Unknown</t>
        </is>
      </c>
      <c r="U51" s="19" t="inlineStr"/>
      <c r="V51" s="19" t="inlineStr"/>
      <c r="W51" s="19" t="inlineStr"/>
      <c r="X51" s="19" t="inlineStr"/>
    </row>
    <row r="52">
      <c r="A52" s="20" t="inlineStr">
        <is>
          <t>BUG-OPEN-22</t>
        </is>
      </c>
      <c r="B52" s="20" t="inlineStr">
        <is>
          <t>Baseline schema incomplete in migrations</t>
        </is>
      </c>
      <c r="C52" s="20" t="inlineStr">
        <is>
          <t>Some tables still need staging dump DDL</t>
        </is>
      </c>
      <c r="D52" s="20" t="inlineStr">
        <is>
          <t>Security &amp; Platform</t>
        </is>
      </c>
      <c r="E52" s="20" t="inlineStr">
        <is>
          <t>RLS + edge shared libs</t>
        </is>
      </c>
      <c r="F52" s="20" t="inlineStr">
        <is>
          <t>Local</t>
        </is>
      </c>
      <c r="G52" s="20" t="inlineStr">
        <is>
          <t>N/A</t>
        </is>
      </c>
      <c r="H52" s="20" t="inlineStr">
        <is>
          <t>Desktop</t>
        </is>
      </c>
      <c r="I52" s="20" t="inlineStr">
        <is>
          <t>Windows</t>
        </is>
      </c>
      <c r="J52" s="20" t="inlineStr">
        <is>
          <t>High</t>
        </is>
      </c>
      <c r="K52" s="20" t="inlineStr">
        <is>
          <t>High</t>
        </is>
      </c>
      <c r="L52" s="20" t="inlineStr">
        <is>
          <t>Open</t>
        </is>
      </c>
      <c r="M52" s="20" t="inlineStr">
        <is>
          <t>Platform</t>
        </is>
      </c>
      <c r="N52" s="20" t="inlineStr">
        <is>
          <t>Dev Patel</t>
        </is>
      </c>
      <c r="O52" s="23" t="n">
        <v>46222</v>
      </c>
      <c r="P52" s="20" t="inlineStr"/>
      <c r="Q52" s="20" t="inlineStr"/>
      <c r="R52" s="20" t="inlineStr">
        <is>
          <t>1.0.0</t>
        </is>
      </c>
      <c r="S52" s="20" t="inlineStr">
        <is>
          <t>Sprint 26</t>
        </is>
      </c>
      <c r="T52" s="20" t="inlineStr">
        <is>
          <t>Config/Env</t>
        </is>
      </c>
      <c r="U52" s="20" t="inlineStr">
        <is>
          <t>Partial IF NOT EXISTS recovery shipped</t>
        </is>
      </c>
      <c r="V52" s="20" t="inlineStr"/>
      <c r="W52" s="20" t="inlineStr"/>
      <c r="X52" s="20" t="inlineStr">
        <is>
          <t>P4-5 partial</t>
        </is>
      </c>
    </row>
    <row r="53">
      <c r="A53" s="19" t="inlineStr">
        <is>
          <t>BUG-OPEN-23</t>
        </is>
      </c>
      <c r="B53" s="19" t="inlineStr">
        <is>
          <t>deduct_credits RPC cannot service-role arbitrary user</t>
        </is>
      </c>
      <c r="C53" s="19" t="inlineStr">
        <is>
          <t>M4 deferred; JS gte path retained</t>
        </is>
      </c>
      <c r="D53" s="19" t="inlineStr">
        <is>
          <t>Billing &amp; Credits</t>
        </is>
      </c>
      <c r="E53" s="19" t="inlineStr">
        <is>
          <t>Credits ledger</t>
        </is>
      </c>
      <c r="F53" s="19" t="inlineStr">
        <is>
          <t>Staging</t>
        </is>
      </c>
      <c r="G53" s="19" t="inlineStr">
        <is>
          <t>N/A</t>
        </is>
      </c>
      <c r="H53" s="19" t="inlineStr">
        <is>
          <t>Desktop</t>
        </is>
      </c>
      <c r="I53" s="19" t="inlineStr">
        <is>
          <t>Windows</t>
        </is>
      </c>
      <c r="J53" s="19" t="inlineStr">
        <is>
          <t>Medium</t>
        </is>
      </c>
      <c r="K53" s="19" t="inlineStr">
        <is>
          <t>High</t>
        </is>
      </c>
      <c r="L53" s="19" t="inlineStr">
        <is>
          <t>Open</t>
        </is>
      </c>
      <c r="M53" s="19" t="inlineStr">
        <is>
          <t>Billing</t>
        </is>
      </c>
      <c r="N53" s="19" t="inlineStr">
        <is>
          <t>Dev Patel</t>
        </is>
      </c>
      <c r="O53" s="22" t="n">
        <v>46227</v>
      </c>
      <c r="P53" s="19" t="inlineStr"/>
      <c r="Q53" s="19" t="inlineStr"/>
      <c r="R53" s="19" t="inlineStr">
        <is>
          <t>1.0.0</t>
        </is>
      </c>
      <c r="S53" s="19" t="inlineStr">
        <is>
          <t>Sprint 26</t>
        </is>
      </c>
      <c r="T53" s="19" t="inlineStr">
        <is>
          <t>API Contract</t>
        </is>
      </c>
      <c r="U53" s="19" t="inlineStr"/>
      <c r="V53" s="19" t="inlineStr"/>
      <c r="W53" s="19" t="inlineStr"/>
      <c r="X53" s="19" t="inlineStr">
        <is>
          <t>M4 DEFERRED</t>
        </is>
      </c>
    </row>
    <row r="54">
      <c r="A54" s="20" t="inlineStr">
        <is>
          <t>BUG-OPEN-24</t>
        </is>
      </c>
      <c r="B54" s="20" t="inlineStr">
        <is>
          <t>Privacy settings toggles unused</t>
        </is>
      </c>
      <c r="C54" s="20" t="inlineStr">
        <is>
          <t>Analytics opt-out enforced; other prefs honesty-labelled</t>
        </is>
      </c>
      <c r="D54" s="20" t="inlineStr">
        <is>
          <t>Settings</t>
        </is>
      </c>
      <c r="E54" s="20" t="inlineStr">
        <is>
          <t>Privacy toggles</t>
        </is>
      </c>
      <c r="F54" s="20" t="inlineStr">
        <is>
          <t>Staging</t>
        </is>
      </c>
      <c r="G54" s="20" t="inlineStr">
        <is>
          <t>Chrome</t>
        </is>
      </c>
      <c r="H54" s="20" t="inlineStr">
        <is>
          <t>Desktop</t>
        </is>
      </c>
      <c r="I54" s="20" t="inlineStr">
        <is>
          <t>Windows</t>
        </is>
      </c>
      <c r="J54" s="20" t="inlineStr">
        <is>
          <t>Medium</t>
        </is>
      </c>
      <c r="K54" s="20" t="inlineStr">
        <is>
          <t>Medium</t>
        </is>
      </c>
      <c r="L54" s="20" t="inlineStr">
        <is>
          <t>Closed</t>
        </is>
      </c>
      <c r="M54" s="20" t="inlineStr">
        <is>
          <t>Platform</t>
        </is>
      </c>
      <c r="N54" s="20" t="inlineStr">
        <is>
          <t>Asha Sharma</t>
        </is>
      </c>
      <c r="O54" s="23" t="n">
        <v>46214</v>
      </c>
      <c r="P54" s="23" t="n">
        <v>46231</v>
      </c>
      <c r="Q54" s="20" t="inlineStr"/>
      <c r="R54" s="20" t="inlineStr">
        <is>
          <t>1.0.0</t>
        </is>
      </c>
      <c r="S54" s="20" t="inlineStr">
        <is>
          <t>Sprint 27</t>
        </is>
      </c>
      <c r="T54" s="20" t="inlineStr">
        <is>
          <t>Logic Bug</t>
        </is>
      </c>
      <c r="U54" s="20" t="inlineStr">
        <is>
          <t>Toggle analytics off → PostHog opt-out</t>
        </is>
      </c>
      <c r="V54" s="20" t="inlineStr"/>
      <c r="W54" s="20" t="inlineStr"/>
      <c r="X54" s="20" t="inlineStr">
        <is>
          <t>FIXED launch pass</t>
        </is>
      </c>
    </row>
    <row r="55">
      <c r="A55" s="19" t="inlineStr">
        <is>
          <t>BUG-OPEN-25</t>
        </is>
      </c>
      <c r="B55" s="19" t="inlineStr">
        <is>
          <t>Retention polish not enforced</t>
        </is>
      </c>
      <c r="C55" s="19" t="inlineStr">
        <is>
          <t>Settings exist; no enforcement</t>
        </is>
      </c>
      <c r="D55" s="19" t="inlineStr">
        <is>
          <t>Settings</t>
        </is>
      </c>
      <c r="E55" s="19" t="inlineStr">
        <is>
          <t>Retention polish</t>
        </is>
      </c>
      <c r="F55" s="19" t="inlineStr">
        <is>
          <t>Staging</t>
        </is>
      </c>
      <c r="G55" s="19" t="inlineStr">
        <is>
          <t>Chrome</t>
        </is>
      </c>
      <c r="H55" s="19" t="inlineStr">
        <is>
          <t>Desktop</t>
        </is>
      </c>
      <c r="I55" s="19" t="inlineStr">
        <is>
          <t>Windows</t>
        </is>
      </c>
      <c r="J55" s="19" t="inlineStr">
        <is>
          <t>Low</t>
        </is>
      </c>
      <c r="K55" s="19" t="inlineStr">
        <is>
          <t>Low</t>
        </is>
      </c>
      <c r="L55" s="19" t="inlineStr">
        <is>
          <t>Open</t>
        </is>
      </c>
      <c r="M55" s="19" t="inlineStr">
        <is>
          <t>Platform</t>
        </is>
      </c>
      <c r="N55" s="19" t="inlineStr">
        <is>
          <t>Asha Sharma</t>
        </is>
      </c>
      <c r="O55" s="22" t="n">
        <v>46214</v>
      </c>
      <c r="P55" s="19" t="inlineStr"/>
      <c r="Q55" s="19" t="inlineStr"/>
      <c r="R55" s="19" t="inlineStr">
        <is>
          <t>1.0.0</t>
        </is>
      </c>
      <c r="S55" s="19" t="inlineStr">
        <is>
          <t>Sprint 25</t>
        </is>
      </c>
      <c r="T55" s="19" t="inlineStr">
        <is>
          <t>Design Gap</t>
        </is>
      </c>
      <c r="U55" s="19" t="inlineStr"/>
      <c r="V55" s="19" t="inlineStr"/>
      <c r="W55" s="19" t="inlineStr"/>
      <c r="X55" s="19" t="inlineStr"/>
    </row>
    <row r="56">
      <c r="A56" s="20" t="inlineStr">
        <is>
          <t>BUG-OPEN-26</t>
        </is>
      </c>
      <c r="B56" s="20" t="inlineStr">
        <is>
          <t>Interview reminders need Resend</t>
        </is>
      </c>
      <c r="C56" s="20" t="inlineStr">
        <is>
          <t>Feature blocked without email secret</t>
        </is>
      </c>
      <c r="D56" s="20" t="inlineStr">
        <is>
          <t>Interviews &amp; Calendar</t>
        </is>
      </c>
      <c r="E56" s="20" t="inlineStr">
        <is>
          <t>Interview email reminders</t>
        </is>
      </c>
      <c r="F56" s="20" t="inlineStr">
        <is>
          <t>Staging</t>
        </is>
      </c>
      <c r="G56" s="20" t="inlineStr">
        <is>
          <t>Chrome</t>
        </is>
      </c>
      <c r="H56" s="20" t="inlineStr">
        <is>
          <t>Desktop</t>
        </is>
      </c>
      <c r="I56" s="20" t="inlineStr">
        <is>
          <t>Windows</t>
        </is>
      </c>
      <c r="J56" s="20" t="inlineStr">
        <is>
          <t>Medium</t>
        </is>
      </c>
      <c r="K56" s="20" t="inlineStr">
        <is>
          <t>Medium</t>
        </is>
      </c>
      <c r="L56" s="20" t="inlineStr">
        <is>
          <t>Blocked</t>
        </is>
      </c>
      <c r="M56" s="20" t="inlineStr">
        <is>
          <t>Scheduling</t>
        </is>
      </c>
      <c r="N56" s="20" t="inlineStr">
        <is>
          <t>Rohan Mehta</t>
        </is>
      </c>
      <c r="O56" s="23" t="n">
        <v>46223</v>
      </c>
      <c r="P56" s="20" t="inlineStr"/>
      <c r="Q56" s="20" t="inlineStr"/>
      <c r="R56" s="20" t="inlineStr">
        <is>
          <t>1.0.0</t>
        </is>
      </c>
      <c r="S56" s="20" t="inlineStr">
        <is>
          <t>Sprint 26</t>
        </is>
      </c>
      <c r="T56" s="20" t="inlineStr">
        <is>
          <t>Config/Env</t>
        </is>
      </c>
      <c r="U56" s="20" t="inlineStr">
        <is>
          <t>Needs RESEND_API_KEY in Edge secrets</t>
        </is>
      </c>
      <c r="V56" s="20" t="inlineStr"/>
      <c r="W56" s="20" t="inlineStr"/>
      <c r="X56" s="20" t="inlineStr">
        <is>
          <t>Ops blocker — no fake fix</t>
        </is>
      </c>
    </row>
    <row r="57">
      <c r="A57" s="19" t="inlineStr">
        <is>
          <t>BUG-OPEN-27</t>
        </is>
      </c>
      <c r="B57" s="19" t="inlineStr">
        <is>
          <t>Live coach desktop-first on mobile</t>
        </is>
      </c>
      <c r="C57" s="19" t="inlineStr">
        <is>
          <t>Poor mobile live experience</t>
        </is>
      </c>
      <c r="D57" s="19" t="inlineStr">
        <is>
          <t>Live Practice Coach</t>
        </is>
      </c>
      <c r="E57" s="19" t="inlineStr">
        <is>
          <t>Live Practice Coach session</t>
        </is>
      </c>
      <c r="F57" s="19" t="inlineStr">
        <is>
          <t>Staging</t>
        </is>
      </c>
      <c r="G57" s="19" t="inlineStr">
        <is>
          <t>Chrome</t>
        </is>
      </c>
      <c r="H57" s="19" t="inlineStr">
        <is>
          <t>iPhone</t>
        </is>
      </c>
      <c r="I57" s="19" t="inlineStr">
        <is>
          <t>iOS</t>
        </is>
      </c>
      <c r="J57" s="19" t="inlineStr">
        <is>
          <t>Medium</t>
        </is>
      </c>
      <c r="K57" s="19" t="inlineStr">
        <is>
          <t>Medium</t>
        </is>
      </c>
      <c r="L57" s="19" t="inlineStr">
        <is>
          <t>Open</t>
        </is>
      </c>
      <c r="M57" s="19" t="inlineStr">
        <is>
          <t>Live Coach</t>
        </is>
      </c>
      <c r="N57" s="19" t="inlineStr">
        <is>
          <t>Priya Nair</t>
        </is>
      </c>
      <c r="O57" s="22" t="n">
        <v>46225</v>
      </c>
      <c r="P57" s="19" t="inlineStr"/>
      <c r="Q57" s="19" t="inlineStr"/>
      <c r="R57" s="19" t="inlineStr">
        <is>
          <t>1.0.0</t>
        </is>
      </c>
      <c r="S57" s="19" t="inlineStr">
        <is>
          <t>Sprint 26</t>
        </is>
      </c>
      <c r="T57" s="19" t="inlineStr">
        <is>
          <t>UI Regression</t>
        </is>
      </c>
      <c r="U57" s="19" t="inlineStr"/>
      <c r="V57" s="19" t="inlineStr">
        <is>
          <t>https://example.com/live-mobile.png</t>
        </is>
      </c>
      <c r="W57" s="19" t="inlineStr"/>
      <c r="X57" s="19" t="inlineStr"/>
    </row>
    <row r="58">
      <c r="A58" s="20" t="inlineStr">
        <is>
          <t>BUG-OPEN-28</t>
        </is>
      </c>
      <c r="B58" s="20" t="inlineStr">
        <is>
          <t>Admin tables poor on small screens</t>
        </is>
      </c>
      <c r="C58" s="20" t="inlineStr">
        <is>
          <t>Wide tables overflow</t>
        </is>
      </c>
      <c r="D58" s="20" t="inlineStr">
        <is>
          <t>Admin Portal</t>
        </is>
      </c>
      <c r="E58" s="20" t="inlineStr">
        <is>
          <t>Admin users management</t>
        </is>
      </c>
      <c r="F58" s="20" t="inlineStr">
        <is>
          <t>Staging</t>
        </is>
      </c>
      <c r="G58" s="20" t="inlineStr">
        <is>
          <t>Chrome</t>
        </is>
      </c>
      <c r="H58" s="20" t="inlineStr">
        <is>
          <t>Android Phone</t>
        </is>
      </c>
      <c r="I58" s="20" t="inlineStr">
        <is>
          <t>Android</t>
        </is>
      </c>
      <c r="J58" s="20" t="inlineStr">
        <is>
          <t>Low</t>
        </is>
      </c>
      <c r="K58" s="20" t="inlineStr">
        <is>
          <t>Low</t>
        </is>
      </c>
      <c r="L58" s="20" t="inlineStr">
        <is>
          <t>Open</t>
        </is>
      </c>
      <c r="M58" s="20" t="inlineStr">
        <is>
          <t>Admin</t>
        </is>
      </c>
      <c r="N58" s="20" t="inlineStr">
        <is>
          <t>Rohan Mehta</t>
        </is>
      </c>
      <c r="O58" s="23" t="n">
        <v>46226</v>
      </c>
      <c r="P58" s="20" t="inlineStr"/>
      <c r="Q58" s="20" t="inlineStr"/>
      <c r="R58" s="20" t="inlineStr">
        <is>
          <t>1.0.0</t>
        </is>
      </c>
      <c r="S58" s="20" t="inlineStr">
        <is>
          <t>Sprint 26</t>
        </is>
      </c>
      <c r="T58" s="20" t="inlineStr">
        <is>
          <t>UI Regression</t>
        </is>
      </c>
      <c r="U58" s="20" t="inlineStr"/>
      <c r="V58" s="20" t="inlineStr"/>
      <c r="W58" s="20" t="inlineStr"/>
      <c r="X58" s="20" t="inlineStr"/>
    </row>
    <row r="59">
      <c r="A59" s="19" t="inlineStr">
        <is>
          <t>BUG-OPEN-29</t>
        </is>
      </c>
      <c r="B59" s="19" t="inlineStr">
        <is>
          <t>Group Practice still referenced historically</t>
        </is>
      </c>
      <c r="C59" s="19" t="inlineStr">
        <is>
          <t>Routes redirect; WebRTC descope</t>
        </is>
      </c>
      <c r="D59" s="19" t="inlineStr">
        <is>
          <t>Referrals &amp; Guide</t>
        </is>
      </c>
      <c r="E59" s="19" t="inlineStr">
        <is>
          <t>In-app Guide/Help</t>
        </is>
      </c>
      <c r="F59" s="19" t="inlineStr">
        <is>
          <t>Staging</t>
        </is>
      </c>
      <c r="G59" s="19" t="inlineStr">
        <is>
          <t>Chrome</t>
        </is>
      </c>
      <c r="H59" s="19" t="inlineStr">
        <is>
          <t>Desktop</t>
        </is>
      </c>
      <c r="I59" s="19" t="inlineStr">
        <is>
          <t>Windows</t>
        </is>
      </c>
      <c r="J59" s="19" t="inlineStr">
        <is>
          <t>Low</t>
        </is>
      </c>
      <c r="K59" s="19" t="inlineStr">
        <is>
          <t>Low</t>
        </is>
      </c>
      <c r="L59" s="19" t="inlineStr">
        <is>
          <t>Closed</t>
        </is>
      </c>
      <c r="M59" s="19" t="inlineStr">
        <is>
          <t>Growth</t>
        </is>
      </c>
      <c r="N59" s="19" t="inlineStr">
        <is>
          <t>Kavya Iyer</t>
        </is>
      </c>
      <c r="O59" s="22" t="n">
        <v>46220</v>
      </c>
      <c r="P59" s="22" t="n">
        <v>46230</v>
      </c>
      <c r="Q59" s="19" t="inlineStr"/>
      <c r="R59" s="19" t="inlineStr">
        <is>
          <t>1.0.0</t>
        </is>
      </c>
      <c r="S59" s="19" t="inlineStr">
        <is>
          <t>Sprint 26</t>
        </is>
      </c>
      <c r="T59" s="19" t="inlineStr">
        <is>
          <t>Design Gap</t>
        </is>
      </c>
      <c r="U59" s="19" t="inlineStr">
        <is>
          <t>Copy updated coming soon</t>
        </is>
      </c>
      <c r="V59" s="19" t="inlineStr"/>
      <c r="W59" s="19" t="inlineStr"/>
      <c r="X59" s="19" t="inlineStr"/>
    </row>
    <row r="60">
      <c r="A60" s="20" t="inlineStr">
        <is>
          <t>BUG-OPEN-30</t>
        </is>
      </c>
      <c r="B60" s="20" t="inlineStr">
        <is>
          <t>Anon key rotation still required</t>
        </is>
      </c>
      <c r="C60" s="20" t="inlineStr">
        <is>
          <t>Historical .env.production exposure</t>
        </is>
      </c>
      <c r="D60" s="20" t="inlineStr">
        <is>
          <t>Security &amp; Platform</t>
        </is>
      </c>
      <c r="E60" s="20" t="inlineStr">
        <is>
          <t>RLS + edge shared libs</t>
        </is>
      </c>
      <c r="F60" s="20" t="inlineStr">
        <is>
          <t>Production</t>
        </is>
      </c>
      <c r="G60" s="20" t="inlineStr">
        <is>
          <t>N/A</t>
        </is>
      </c>
      <c r="H60" s="20" t="inlineStr">
        <is>
          <t>Desktop</t>
        </is>
      </c>
      <c r="I60" s="20" t="inlineStr">
        <is>
          <t>Windows</t>
        </is>
      </c>
      <c r="J60" s="20" t="inlineStr">
        <is>
          <t>High</t>
        </is>
      </c>
      <c r="K60" s="20" t="inlineStr">
        <is>
          <t>Critical</t>
        </is>
      </c>
      <c r="L60" s="20" t="inlineStr">
        <is>
          <t>Blocked</t>
        </is>
      </c>
      <c r="M60" s="20" t="inlineStr">
        <is>
          <t>Platform</t>
        </is>
      </c>
      <c r="N60" s="20" t="inlineStr">
        <is>
          <t>Kavya Iyer</t>
        </is>
      </c>
      <c r="O60" s="23" t="n">
        <v>46229</v>
      </c>
      <c r="P60" s="20" t="inlineStr"/>
      <c r="Q60" s="20" t="inlineStr"/>
      <c r="R60" s="20" t="inlineStr">
        <is>
          <t>1.0.0</t>
        </is>
      </c>
      <c r="S60" s="20" t="inlineStr">
        <is>
          <t>Sprint 26</t>
        </is>
      </c>
      <c r="T60" s="20" t="inlineStr">
        <is>
          <t>Config/Env</t>
        </is>
      </c>
      <c r="U60" s="20" t="inlineStr">
        <is>
          <t>Rotate anon key in Supabase Dashboard only</t>
        </is>
      </c>
      <c r="V60" s="20" t="inlineStr"/>
      <c r="W60" s="20" t="inlineStr"/>
      <c r="X60" s="20" t="inlineStr">
        <is>
          <t>Ops blocker — cannot rotate from repo</t>
        </is>
      </c>
    </row>
  </sheetData>
  <autoFilter ref="A2:X60"/>
  <mergeCells count="1">
    <mergeCell ref="A1:H1"/>
  </mergeCells>
  <conditionalFormatting sqref="J3:J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K3:K500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dataValidations count="11">
    <dataValidation sqref="D3:D5000" showDropDown="0" showInputMessage="0" showErrorMessage="0" allowBlank="1" errorTitle="Invalid" error="Pick a value from the list" type="list">
      <formula1>Lists!$Z$2:$Z$21</formula1>
    </dataValidation>
    <dataValidation sqref="F3:F5000" showDropDown="0" showInputMessage="0" showErrorMessage="0" allowBlank="1" errorTitle="Invalid" error="Pick a value from the list" type="list">
      <formula1>Lists!$E$2:$E$7</formula1>
    </dataValidation>
    <dataValidation sqref="G3:G5000" showDropDown="0" showInputMessage="0" showErrorMessage="0" allowBlank="1" errorTitle="Invalid" error="Pick a value from the list" type="list">
      <formula1>Lists!$F$2:$F$7</formula1>
    </dataValidation>
    <dataValidation sqref="H3:H5000" showDropDown="0" showInputMessage="0" showErrorMessage="0" allowBlank="1" errorTitle="Invalid" error="Pick a value from the list" type="list">
      <formula1>Lists!$G$2:$G$7</formula1>
    </dataValidation>
    <dataValidation sqref="J3:J5000" showDropDown="0" showInputMessage="0" showErrorMessage="0" allowBlank="1" errorTitle="Invalid" error="Pick a value from the list" type="list">
      <formula1>Lists!$D$2:$D$5</formula1>
    </dataValidation>
    <dataValidation sqref="K3:K5000" showDropDown="0" showInputMessage="0" showErrorMessage="0" allowBlank="1" errorTitle="Invalid" error="Pick a value from the list" type="list">
      <formula1>Lists!$C$2:$C$5</formula1>
    </dataValidation>
    <dataValidation sqref="L3:L5000" showDropDown="0" showInputMessage="0" showErrorMessage="0" allowBlank="1" errorTitle="Invalid" error="Pick a value from the list" type="list">
      <formula1>Lists!$K$2:$K$9</formula1>
    </dataValidation>
    <dataValidation sqref="M3:M5000" showDropDown="0" showInputMessage="0" showErrorMessage="0" allowBlank="1" errorTitle="Invalid" error="Pick a value from the list" type="list">
      <formula1>Lists!$AD$2:$AD$17</formula1>
    </dataValidation>
    <dataValidation sqref="N3:N5000" showDropDown="0" showInputMessage="0" showErrorMessage="0" allowBlank="1" errorTitle="Invalid" error="Pick a value from the list" type="list">
      <formula1>Lists!$AC$2:$AC$6</formula1>
    </dataValidation>
    <dataValidation sqref="S3:S5000" showDropDown="0" showInputMessage="0" showErrorMessage="0" allowBlank="1" errorTitle="Invalid" error="Pick a value from the list" type="list">
      <formula1>Lists!$W$2:$W$6</formula1>
    </dataValidation>
    <dataValidation sqref="T3:T5000" showDropDown="0" showInputMessage="0" showErrorMessage="0" allowBlank="1" errorTitle="Invalid" error="Pick a value from the list" type="list">
      <formula1>Lists!$Y$2:$Y$11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</cols>
  <sheetData>
    <row r="1">
      <c r="A1" s="1" t="inlineStr">
        <is>
          <t>UI/UX Testing</t>
        </is>
      </c>
    </row>
    <row r="2">
      <c r="A2" s="18" t="inlineStr">
        <is>
          <t>Screen</t>
        </is>
      </c>
      <c r="B2" s="18" t="inlineStr">
        <is>
          <t>Component</t>
        </is>
      </c>
      <c r="C2" s="18" t="inlineStr">
        <is>
          <t>Alignment</t>
        </is>
      </c>
      <c r="D2" s="18" t="inlineStr">
        <is>
          <t>Spacing</t>
        </is>
      </c>
      <c r="E2" s="18" t="inlineStr">
        <is>
          <t>Responsive</t>
        </is>
      </c>
      <c r="F2" s="18" t="inlineStr">
        <is>
          <t>Typography</t>
        </is>
      </c>
      <c r="G2" s="18" t="inlineStr">
        <is>
          <t>Icons</t>
        </is>
      </c>
      <c r="H2" s="18" t="inlineStr">
        <is>
          <t>Accessibility</t>
        </is>
      </c>
      <c r="I2" s="18" t="inlineStr">
        <is>
          <t>Dark Mode</t>
        </is>
      </c>
      <c r="J2" s="18" t="inlineStr">
        <is>
          <t>Light Mode</t>
        </is>
      </c>
      <c r="K2" s="18" t="inlineStr">
        <is>
          <t>Animation</t>
        </is>
      </c>
      <c r="L2" s="18" t="inlineStr">
        <is>
          <t>Pass</t>
        </is>
      </c>
      <c r="M2" s="18" t="inlineStr">
        <is>
          <t>Remarks</t>
        </is>
      </c>
    </row>
    <row r="3">
      <c r="A3" s="19" t="inlineStr">
        <is>
          <t>/pricing</t>
        </is>
      </c>
      <c r="B3" s="19" t="inlineStr">
        <is>
          <t>Plan cards</t>
        </is>
      </c>
      <c r="C3" s="19" t="inlineStr">
        <is>
          <t>Pass</t>
        </is>
      </c>
      <c r="D3" s="19" t="inlineStr">
        <is>
          <t>Pass</t>
        </is>
      </c>
      <c r="E3" s="19" t="inlineStr">
        <is>
          <t>Pass</t>
        </is>
      </c>
      <c r="F3" s="19" t="inlineStr">
        <is>
          <t>Pass</t>
        </is>
      </c>
      <c r="G3" s="19" t="inlineStr">
        <is>
          <t>Pass</t>
        </is>
      </c>
      <c r="H3" s="19" t="inlineStr">
        <is>
          <t>Partial</t>
        </is>
      </c>
      <c r="I3" s="19" t="inlineStr">
        <is>
          <t>Pass</t>
        </is>
      </c>
      <c r="J3" s="19" t="inlineStr">
        <is>
          <t>Pass</t>
        </is>
      </c>
      <c r="K3" s="19" t="inlineStr">
        <is>
          <t>Pass</t>
        </is>
      </c>
      <c r="L3" s="19" t="inlineStr">
        <is>
          <t>Pass</t>
        </is>
      </c>
      <c r="M3" s="19" t="inlineStr">
        <is>
          <t>Max $79</t>
        </is>
      </c>
    </row>
    <row r="4">
      <c r="A4" s="20" t="inlineStr">
        <is>
          <t>/app/live</t>
        </is>
      </c>
      <c r="B4" s="20" t="inlineStr">
        <is>
          <t>Transcript panel</t>
        </is>
      </c>
      <c r="C4" s="20" t="inlineStr">
        <is>
          <t>Pass</t>
        </is>
      </c>
      <c r="D4" s="20" t="inlineStr">
        <is>
          <t>Pass</t>
        </is>
      </c>
      <c r="E4" s="20" t="inlineStr">
        <is>
          <t>Partial</t>
        </is>
      </c>
      <c r="F4" s="20" t="inlineStr">
        <is>
          <t>Pass</t>
        </is>
      </c>
      <c r="G4" s="20" t="inlineStr">
        <is>
          <t>Pass</t>
        </is>
      </c>
      <c r="H4" s="20" t="inlineStr">
        <is>
          <t>Partial</t>
        </is>
      </c>
      <c r="I4" s="20" t="inlineStr">
        <is>
          <t>Pass</t>
        </is>
      </c>
      <c r="J4" s="20" t="inlineStr">
        <is>
          <t>Pass</t>
        </is>
      </c>
      <c r="K4" s="20" t="inlineStr">
        <is>
          <t>Pass</t>
        </is>
      </c>
      <c r="L4" s="20" t="inlineStr">
        <is>
          <t>Pass</t>
        </is>
      </c>
      <c r="M4" s="20" t="inlineStr">
        <is>
          <t>Electron primary</t>
        </is>
      </c>
    </row>
    <row r="5">
      <c r="A5" s="19" t="inlineStr">
        <is>
          <t>/app/dashboard</t>
        </is>
      </c>
      <c r="B5" s="19" t="inlineStr">
        <is>
          <t>KPI cards</t>
        </is>
      </c>
      <c r="C5" s="19" t="inlineStr">
        <is>
          <t>Pass</t>
        </is>
      </c>
      <c r="D5" s="19" t="inlineStr">
        <is>
          <t>Pass</t>
        </is>
      </c>
      <c r="E5" s="19" t="inlineStr">
        <is>
          <t>Pass</t>
        </is>
      </c>
      <c r="F5" s="19" t="inlineStr">
        <is>
          <t>Pass</t>
        </is>
      </c>
      <c r="G5" s="19" t="inlineStr">
        <is>
          <t>Pass</t>
        </is>
      </c>
      <c r="H5" s="19" t="inlineStr">
        <is>
          <t>Pass</t>
        </is>
      </c>
      <c r="I5" s="19" t="inlineStr">
        <is>
          <t>Pass</t>
        </is>
      </c>
      <c r="J5" s="19" t="inlineStr">
        <is>
          <t>Pass</t>
        </is>
      </c>
      <c r="K5" s="19" t="inlineStr">
        <is>
          <t>Pass</t>
        </is>
      </c>
      <c r="L5" s="19" t="inlineStr">
        <is>
          <t>Pass</t>
        </is>
      </c>
      <c r="M5" s="19" t="inlineStr"/>
    </row>
    <row r="6">
      <c r="A6" s="20" t="inlineStr">
        <is>
          <t>/app/admin/revenue</t>
        </is>
      </c>
      <c r="B6" s="20" t="inlineStr">
        <is>
          <t>USD/INR charts</t>
        </is>
      </c>
      <c r="C6" s="20" t="inlineStr">
        <is>
          <t>Pass</t>
        </is>
      </c>
      <c r="D6" s="20" t="inlineStr">
        <is>
          <t>Pass</t>
        </is>
      </c>
      <c r="E6" s="20" t="inlineStr">
        <is>
          <t>Pass</t>
        </is>
      </c>
      <c r="F6" s="20" t="inlineStr">
        <is>
          <t>Pass</t>
        </is>
      </c>
      <c r="G6" s="20" t="inlineStr">
        <is>
          <t>Pass</t>
        </is>
      </c>
      <c r="H6" s="20" t="inlineStr">
        <is>
          <t>Partial</t>
        </is>
      </c>
      <c r="I6" s="20" t="inlineStr">
        <is>
          <t>Pass</t>
        </is>
      </c>
      <c r="J6" s="20" t="inlineStr">
        <is>
          <t>Pass</t>
        </is>
      </c>
      <c r="K6" s="20" t="inlineStr">
        <is>
          <t>N/A</t>
        </is>
      </c>
      <c r="L6" s="20" t="inlineStr">
        <is>
          <t>Pass</t>
        </is>
      </c>
      <c r="M6" s="20" t="inlineStr"/>
    </row>
    <row r="7">
      <c r="A7" s="19" t="inlineStr">
        <is>
          <t>/login</t>
        </is>
      </c>
      <c r="B7" s="19" t="inlineStr">
        <is>
          <t>Auth form</t>
        </is>
      </c>
      <c r="C7" s="19" t="inlineStr">
        <is>
          <t>Pass</t>
        </is>
      </c>
      <c r="D7" s="19" t="inlineStr">
        <is>
          <t>Pass</t>
        </is>
      </c>
      <c r="E7" s="19" t="inlineStr">
        <is>
          <t>Pass</t>
        </is>
      </c>
      <c r="F7" s="19" t="inlineStr">
        <is>
          <t>Pass</t>
        </is>
      </c>
      <c r="G7" s="19" t="inlineStr">
        <is>
          <t>Pass</t>
        </is>
      </c>
      <c r="H7" s="19" t="inlineStr">
        <is>
          <t>Pass</t>
        </is>
      </c>
      <c r="I7" s="19" t="inlineStr">
        <is>
          <t>Pass</t>
        </is>
      </c>
      <c r="J7" s="19" t="inlineStr">
        <is>
          <t>Pass</t>
        </is>
      </c>
      <c r="K7" s="19" t="inlineStr">
        <is>
          <t>N/A</t>
        </is>
      </c>
      <c r="L7" s="19" t="inlineStr">
        <is>
          <t>Pass</t>
        </is>
      </c>
      <c r="M7" s="19" t="inlineStr"/>
    </row>
  </sheetData>
  <autoFilter ref="A2:M7"/>
  <mergeCells count="1">
    <mergeCell ref="A1:H1"/>
  </mergeCells>
  <conditionalFormatting sqref="C3:C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D3:D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E3:E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F3:F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G3:G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H3:H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I3:I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J3:J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L3:L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dataValidations count="10"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5" customWidth="1" min="8" max="8"/>
    <col width="14" customWidth="1" min="9" max="9"/>
    <col width="12" customWidth="1" min="10" max="10"/>
    <col width="12" customWidth="1" min="11" max="11"/>
    <col width="19" customWidth="1" min="12" max="12"/>
  </cols>
  <sheetData>
    <row r="1">
      <c r="A1" s="1" t="inlineStr">
        <is>
          <t>Mobile Responsiveness</t>
        </is>
      </c>
    </row>
    <row r="2">
      <c r="A2" s="18" t="inlineStr">
        <is>
          <t>Screen</t>
        </is>
      </c>
      <c r="B2" s="18" t="inlineStr">
        <is>
          <t>Android</t>
        </is>
      </c>
      <c r="C2" s="18" t="inlineStr">
        <is>
          <t>iPhone</t>
        </is>
      </c>
      <c r="D2" s="18" t="inlineStr">
        <is>
          <t>Tablet</t>
        </is>
      </c>
      <c r="E2" s="18" t="inlineStr">
        <is>
          <t>Landscape</t>
        </is>
      </c>
      <c r="F2" s="18" t="inlineStr">
        <is>
          <t>Portrait</t>
        </is>
      </c>
      <c r="G2" s="18" t="inlineStr">
        <is>
          <t>Small Screen</t>
        </is>
      </c>
      <c r="H2" s="18" t="inlineStr">
        <is>
          <t>Medium Screen</t>
        </is>
      </c>
      <c r="I2" s="18" t="inlineStr">
        <is>
          <t>Large Screen</t>
        </is>
      </c>
      <c r="J2" s="18" t="inlineStr">
        <is>
          <t>Responsive</t>
        </is>
      </c>
      <c r="K2" s="18" t="inlineStr">
        <is>
          <t>Pass</t>
        </is>
      </c>
      <c r="L2" s="18" t="inlineStr">
        <is>
          <t>Comments</t>
        </is>
      </c>
    </row>
    <row r="3">
      <c r="A3" s="19" t="inlineStr">
        <is>
          <t>/app/dashboard</t>
        </is>
      </c>
      <c r="B3" s="19" t="inlineStr">
        <is>
          <t>Pass</t>
        </is>
      </c>
      <c r="C3" s="19" t="inlineStr">
        <is>
          <t>Pass</t>
        </is>
      </c>
      <c r="D3" s="19" t="inlineStr">
        <is>
          <t>Pass</t>
        </is>
      </c>
      <c r="E3" s="19" t="inlineStr">
        <is>
          <t>Pass</t>
        </is>
      </c>
      <c r="F3" s="19" t="inlineStr">
        <is>
          <t>Pass</t>
        </is>
      </c>
      <c r="G3" s="19" t="inlineStr">
        <is>
          <t>Pass</t>
        </is>
      </c>
      <c r="H3" s="19" t="inlineStr">
        <is>
          <t>Pass</t>
        </is>
      </c>
      <c r="I3" s="19" t="inlineStr">
        <is>
          <t>Pass</t>
        </is>
      </c>
      <c r="J3" s="19" t="inlineStr">
        <is>
          <t>Yes</t>
        </is>
      </c>
      <c r="K3" s="19" t="inlineStr">
        <is>
          <t>Pass</t>
        </is>
      </c>
      <c r="L3" s="19" t="inlineStr">
        <is>
          <t>MobileNav partial</t>
        </is>
      </c>
    </row>
    <row r="4">
      <c r="A4" s="20" t="inlineStr">
        <is>
          <t>/app/mock-test/session</t>
        </is>
      </c>
      <c r="B4" s="20" t="inlineStr">
        <is>
          <t>Pass</t>
        </is>
      </c>
      <c r="C4" s="20" t="inlineStr">
        <is>
          <t>Pass</t>
        </is>
      </c>
      <c r="D4" s="20" t="inlineStr">
        <is>
          <t>Pass</t>
        </is>
      </c>
      <c r="E4" s="20" t="inlineStr">
        <is>
          <t>Partial</t>
        </is>
      </c>
      <c r="F4" s="20" t="inlineStr">
        <is>
          <t>Pass</t>
        </is>
      </c>
      <c r="G4" s="20" t="inlineStr">
        <is>
          <t>Pass</t>
        </is>
      </c>
      <c r="H4" s="20" t="inlineStr">
        <is>
          <t>Pass</t>
        </is>
      </c>
      <c r="I4" s="20" t="inlineStr">
        <is>
          <t>Pass</t>
        </is>
      </c>
      <c r="J4" s="20" t="inlineStr">
        <is>
          <t>Yes</t>
        </is>
      </c>
      <c r="K4" s="20" t="inlineStr">
        <is>
          <t>Pass</t>
        </is>
      </c>
      <c r="L4" s="20" t="inlineStr"/>
    </row>
    <row r="5">
      <c r="A5" s="19" t="inlineStr">
        <is>
          <t>/pricing</t>
        </is>
      </c>
      <c r="B5" s="19" t="inlineStr">
        <is>
          <t>Pass</t>
        </is>
      </c>
      <c r="C5" s="19" t="inlineStr">
        <is>
          <t>Pass</t>
        </is>
      </c>
      <c r="D5" s="19" t="inlineStr">
        <is>
          <t>Pass</t>
        </is>
      </c>
      <c r="E5" s="19" t="inlineStr">
        <is>
          <t>Pass</t>
        </is>
      </c>
      <c r="F5" s="19" t="inlineStr">
        <is>
          <t>Pass</t>
        </is>
      </c>
      <c r="G5" s="19" t="inlineStr">
        <is>
          <t>Pass</t>
        </is>
      </c>
      <c r="H5" s="19" t="inlineStr">
        <is>
          <t>Pass</t>
        </is>
      </c>
      <c r="I5" s="19" t="inlineStr">
        <is>
          <t>Pass</t>
        </is>
      </c>
      <c r="J5" s="19" t="inlineStr">
        <is>
          <t>Yes</t>
        </is>
      </c>
      <c r="K5" s="19" t="inlineStr">
        <is>
          <t>Pass</t>
        </is>
      </c>
      <c r="L5" s="19" t="inlineStr"/>
    </row>
    <row r="6">
      <c r="A6" s="20" t="inlineStr">
        <is>
          <t>/app/live</t>
        </is>
      </c>
      <c r="B6" s="20" t="inlineStr">
        <is>
          <t>Fail</t>
        </is>
      </c>
      <c r="C6" s="20" t="inlineStr">
        <is>
          <t>Fail</t>
        </is>
      </c>
      <c r="D6" s="20" t="inlineStr">
        <is>
          <t>Partial</t>
        </is>
      </c>
      <c r="E6" s="20" t="inlineStr">
        <is>
          <t>N/A</t>
        </is>
      </c>
      <c r="F6" s="20" t="inlineStr">
        <is>
          <t>N/A</t>
        </is>
      </c>
      <c r="G6" s="20" t="inlineStr">
        <is>
          <t>Fail</t>
        </is>
      </c>
      <c r="H6" s="20" t="inlineStr">
        <is>
          <t>Partial</t>
        </is>
      </c>
      <c r="I6" s="20" t="inlineStr">
        <is>
          <t>Pass</t>
        </is>
      </c>
      <c r="J6" s="20" t="inlineStr">
        <is>
          <t>Partial</t>
        </is>
      </c>
      <c r="K6" s="20" t="inlineStr">
        <is>
          <t>Fail</t>
        </is>
      </c>
      <c r="L6" s="20" t="inlineStr">
        <is>
          <t>Desktop-first</t>
        </is>
      </c>
    </row>
    <row r="7">
      <c r="A7" s="19" t="inlineStr">
        <is>
          <t>/app/admin/users</t>
        </is>
      </c>
      <c r="B7" s="19" t="inlineStr">
        <is>
          <t>Partial</t>
        </is>
      </c>
      <c r="C7" s="19" t="inlineStr">
        <is>
          <t>Partial</t>
        </is>
      </c>
      <c r="D7" s="19" t="inlineStr">
        <is>
          <t>Pass</t>
        </is>
      </c>
      <c r="E7" s="19" t="inlineStr">
        <is>
          <t>Pass</t>
        </is>
      </c>
      <c r="F7" s="19" t="inlineStr">
        <is>
          <t>Pass</t>
        </is>
      </c>
      <c r="G7" s="19" t="inlineStr">
        <is>
          <t>Partial</t>
        </is>
      </c>
      <c r="H7" s="19" t="inlineStr">
        <is>
          <t>Pass</t>
        </is>
      </c>
      <c r="I7" s="19" t="inlineStr">
        <is>
          <t>Pass</t>
        </is>
      </c>
      <c r="J7" s="19" t="inlineStr">
        <is>
          <t>Partial</t>
        </is>
      </c>
      <c r="K7" s="19" t="inlineStr">
        <is>
          <t>Partial</t>
        </is>
      </c>
      <c r="L7" s="19" t="inlineStr">
        <is>
          <t>Wide tables</t>
        </is>
      </c>
    </row>
  </sheetData>
  <autoFilter ref="A2:L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dataValidations count="10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Lists!$I$2:$I$5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36" customWidth="1" min="3" max="3"/>
    <col width="16" customWidth="1" min="4" max="4"/>
    <col width="28" customWidth="1" min="5" max="5"/>
    <col width="24" customWidth="1" min="6" max="6"/>
    <col width="20" customWidth="1" min="7" max="7"/>
    <col width="17" customWidth="1" min="8" max="8"/>
    <col width="13" customWidth="1" min="9" max="9"/>
    <col width="13" customWidth="1" min="10" max="10"/>
    <col width="12" customWidth="1" min="11" max="11"/>
    <col width="12" customWidth="1" min="12" max="12"/>
    <col width="18" customWidth="1" min="13" max="13"/>
  </cols>
  <sheetData>
    <row r="1">
      <c r="A1" s="1" t="inlineStr">
        <is>
          <t>API Testing — Supabase Edge Functions</t>
        </is>
      </c>
    </row>
    <row r="2">
      <c r="A2" s="18" t="inlineStr">
        <is>
          <t>API Name</t>
        </is>
      </c>
      <c r="B2" s="18" t="inlineStr">
        <is>
          <t>Method</t>
        </is>
      </c>
      <c r="C2" s="18" t="inlineStr">
        <is>
          <t>Endpoint</t>
        </is>
      </c>
      <c r="D2" s="18" t="inlineStr">
        <is>
          <t>Authentication</t>
        </is>
      </c>
      <c r="E2" s="18" t="inlineStr">
        <is>
          <t>Headers</t>
        </is>
      </c>
      <c r="F2" s="18" t="inlineStr">
        <is>
          <t>Request</t>
        </is>
      </c>
      <c r="G2" s="18" t="inlineStr">
        <is>
          <t>Expected Response</t>
        </is>
      </c>
      <c r="H2" s="18" t="inlineStr">
        <is>
          <t>Actual Response</t>
        </is>
      </c>
      <c r="I2" s="18" t="inlineStr">
        <is>
          <t>Status Code</t>
        </is>
      </c>
      <c r="J2" s="18" t="inlineStr">
        <is>
          <t>Performance</t>
        </is>
      </c>
      <c r="K2" s="18" t="inlineStr">
        <is>
          <t>Security</t>
        </is>
      </c>
      <c r="L2" s="18" t="inlineStr">
        <is>
          <t>Pass</t>
        </is>
      </c>
      <c r="M2" s="18" t="inlineStr">
        <is>
          <t>Comments</t>
        </is>
      </c>
    </row>
    <row r="3">
      <c r="A3" s="19" t="inlineStr">
        <is>
          <t>Create Checkout</t>
        </is>
      </c>
      <c r="B3" s="19" t="inlineStr">
        <is>
          <t>POST</t>
        </is>
      </c>
      <c r="C3" s="19" t="inlineStr">
        <is>
          <t>/functions/v1/create-checkout</t>
        </is>
      </c>
      <c r="D3" s="19" t="inlineStr">
        <is>
          <t>Bearer JWT</t>
        </is>
      </c>
      <c r="E3" s="19" t="inlineStr">
        <is>
          <t>Authorization, apikey</t>
        </is>
      </c>
      <c r="F3" s="19" t="inlineStr">
        <is>
          <t>{"plan":"enterprise"}</t>
        </is>
      </c>
      <c r="G3" s="19" t="inlineStr">
        <is>
          <t>Checkout URL</t>
        </is>
      </c>
      <c r="H3" s="19" t="inlineStr">
        <is>
          <t>URL ok</t>
        </is>
      </c>
      <c r="I3" s="19" t="inlineStr">
        <is>
          <t>200</t>
        </is>
      </c>
      <c r="J3" s="19" t="inlineStr">
        <is>
          <t>Good</t>
        </is>
      </c>
      <c r="K3" s="19" t="inlineStr">
        <is>
          <t>Pass</t>
        </is>
      </c>
      <c r="L3" s="19" t="inlineStr">
        <is>
          <t>Pass</t>
        </is>
      </c>
      <c r="M3" s="19" t="inlineStr">
        <is>
          <t>Enterprise price</t>
        </is>
      </c>
    </row>
    <row r="4">
      <c r="A4" s="20" t="inlineStr">
        <is>
          <t>Parse Resume</t>
        </is>
      </c>
      <c r="B4" s="20" t="inlineStr">
        <is>
          <t>POST</t>
        </is>
      </c>
      <c r="C4" s="20" t="inlineStr">
        <is>
          <t>/functions/v1/parse-resume</t>
        </is>
      </c>
      <c r="D4" s="20" t="inlineStr">
        <is>
          <t>Bearer JWT</t>
        </is>
      </c>
      <c r="E4" s="20" t="inlineStr">
        <is>
          <t>x-clarify-onboarding-parse</t>
        </is>
      </c>
      <c r="F4" s="20" t="inlineStr">
        <is>
          <t>multipart</t>
        </is>
      </c>
      <c r="G4" s="20" t="inlineStr">
        <is>
          <t>Parsed JSON</t>
        </is>
      </c>
      <c r="H4" s="20" t="inlineStr">
        <is>
          <t>OK</t>
        </is>
      </c>
      <c r="I4" s="20" t="inlineStr">
        <is>
          <t>200</t>
        </is>
      </c>
      <c r="J4" s="20" t="inlineStr">
        <is>
          <t>Acceptable</t>
        </is>
      </c>
      <c r="K4" s="20" t="inlineStr">
        <is>
          <t>Pass</t>
        </is>
      </c>
      <c r="L4" s="20" t="inlineStr">
        <is>
          <t>Pass</t>
        </is>
      </c>
      <c r="M4" s="20" t="inlineStr">
        <is>
          <t>Free once</t>
        </is>
      </c>
    </row>
    <row r="5">
      <c r="A5" s="19" t="inlineStr">
        <is>
          <t>Generate Answer</t>
        </is>
      </c>
      <c r="B5" s="19" t="inlineStr">
        <is>
          <t>POST</t>
        </is>
      </c>
      <c r="C5" s="19" t="inlineStr">
        <is>
          <t>/functions/v1/generate-answer</t>
        </is>
      </c>
      <c r="D5" s="19" t="inlineStr">
        <is>
          <t>Bearer JWT</t>
        </is>
      </c>
      <c r="E5" s="19" t="inlineStr">
        <is>
          <t>Authorization</t>
        </is>
      </c>
      <c r="F5" s="19" t="inlineStr">
        <is>
          <t>{"mode":"overlay"}</t>
        </is>
      </c>
      <c r="G5" s="19" t="inlineStr">
        <is>
          <t>403 free overlay</t>
        </is>
      </c>
      <c r="H5" s="19" t="inlineStr">
        <is>
          <t>403</t>
        </is>
      </c>
      <c r="I5" s="19" t="inlineStr">
        <is>
          <t>403</t>
        </is>
      </c>
      <c r="J5" s="19" t="inlineStr">
        <is>
          <t>Excellent</t>
        </is>
      </c>
      <c r="K5" s="19" t="inlineStr">
        <is>
          <t>Pass</t>
        </is>
      </c>
      <c r="L5" s="19" t="inlineStr">
        <is>
          <t>Pass</t>
        </is>
      </c>
      <c r="M5" s="19" t="inlineStr">
        <is>
          <t>Pro gate</t>
        </is>
      </c>
    </row>
    <row r="6">
      <c r="A6" s="20" t="inlineStr">
        <is>
          <t>Razorpay Order</t>
        </is>
      </c>
      <c r="B6" s="20" t="inlineStr">
        <is>
          <t>POST</t>
        </is>
      </c>
      <c r="C6" s="20" t="inlineStr">
        <is>
          <t>/functions/v1/razorpay-create-order</t>
        </is>
      </c>
      <c r="D6" s="20" t="inlineStr">
        <is>
          <t>Bearer JWT</t>
        </is>
      </c>
      <c r="E6" s="20" t="inlineStr">
        <is>
          <t>Authorization</t>
        </is>
      </c>
      <c r="F6" s="20" t="inlineStr">
        <is>
          <t>{"pack":"credits_50"}</t>
        </is>
      </c>
      <c r="G6" s="20" t="inlineStr">
        <is>
          <t>order_id</t>
        </is>
      </c>
      <c r="H6" s="20" t="inlineStr">
        <is>
          <t>OK</t>
        </is>
      </c>
      <c r="I6" s="20" t="inlineStr">
        <is>
          <t>200</t>
        </is>
      </c>
      <c r="J6" s="20" t="inlineStr">
        <is>
          <t>Good</t>
        </is>
      </c>
      <c r="K6" s="20" t="inlineStr">
        <is>
          <t>Pass</t>
        </is>
      </c>
      <c r="L6" s="20" t="inlineStr">
        <is>
          <t>Pass</t>
        </is>
      </c>
      <c r="M6" s="20" t="inlineStr">
        <is>
          <t>Rate limited</t>
        </is>
      </c>
    </row>
    <row r="7">
      <c r="A7" s="19" t="inlineStr">
        <is>
          <t>Stripe Webhook</t>
        </is>
      </c>
      <c r="B7" s="19" t="inlineStr">
        <is>
          <t>POST</t>
        </is>
      </c>
      <c r="C7" s="19" t="inlineStr">
        <is>
          <t>/functions/v1/stripe-webhook</t>
        </is>
      </c>
      <c r="D7" s="19" t="inlineStr">
        <is>
          <t>Webhook HMAC</t>
        </is>
      </c>
      <c r="E7" s="19" t="inlineStr">
        <is>
          <t>Stripe-Signature</t>
        </is>
      </c>
      <c r="F7" s="19" t="inlineStr">
        <is>
          <t>invoice.payment_failed</t>
        </is>
      </c>
      <c r="G7" s="19" t="inlineStr">
        <is>
          <t>200 credits intact</t>
        </is>
      </c>
      <c r="H7" s="19" t="inlineStr">
        <is>
          <t>200</t>
        </is>
      </c>
      <c r="I7" s="19" t="inlineStr">
        <is>
          <t>200</t>
        </is>
      </c>
      <c r="J7" s="19" t="inlineStr">
        <is>
          <t>Excellent</t>
        </is>
      </c>
      <c r="K7" s="19" t="inlineStr">
        <is>
          <t>Pass</t>
        </is>
      </c>
      <c r="L7" s="19" t="inlineStr">
        <is>
          <t>Pass</t>
        </is>
      </c>
      <c r="M7" s="19" t="inlineStr">
        <is>
          <t>P0-2</t>
        </is>
      </c>
    </row>
    <row r="8">
      <c r="A8" s="20" t="inlineStr">
        <is>
          <t>Sync Calendar</t>
        </is>
      </c>
      <c r="B8" s="20" t="inlineStr">
        <is>
          <t>POST</t>
        </is>
      </c>
      <c r="C8" s="20" t="inlineStr">
        <is>
          <t>/functions/v1/sync-calendar</t>
        </is>
      </c>
      <c r="D8" s="20" t="inlineStr">
        <is>
          <t>Bearer JWT</t>
        </is>
      </c>
      <c r="E8" s="20" t="inlineStr">
        <is>
          <t>Authorization</t>
        </is>
      </c>
      <c r="F8" s="20" t="inlineStr">
        <is>
          <t>{}</t>
        </is>
      </c>
      <c r="G8" s="20" t="inlineStr">
        <is>
          <t>501 or events</t>
        </is>
      </c>
      <c r="H8" s="20" t="inlineStr">
        <is>
          <t>501</t>
        </is>
      </c>
      <c r="I8" s="20" t="inlineStr">
        <is>
          <t>501</t>
        </is>
      </c>
      <c r="J8" s="20" t="inlineStr">
        <is>
          <t>N/A</t>
        </is>
      </c>
      <c r="K8" s="20" t="inlineStr">
        <is>
          <t>Pass</t>
        </is>
      </c>
      <c r="L8" s="20" t="inlineStr">
        <is>
          <t>Blocked</t>
        </is>
      </c>
      <c r="M8" s="20" t="inlineStr">
        <is>
          <t>Secrets</t>
        </is>
      </c>
    </row>
  </sheetData>
  <autoFilter ref="A2:M8"/>
  <mergeCells count="1">
    <mergeCell ref="A1:H1"/>
  </mergeCells>
  <conditionalFormatting sqref="L3:L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6">
    <dataValidation sqref="B3:B5000" showDropDown="0" showInputMessage="0" showErrorMessage="0" allowBlank="1" errorTitle="Invalid" error="Pick a value from the list" type="list">
      <formula1>Lists!$T$2:$T$7</formula1>
    </dataValidation>
    <dataValidation sqref="D3:D5000" showDropDown="0" showInputMessage="0" showErrorMessage="0" allowBlank="1" errorTitle="Invalid" error="Pick a value from the list" type="list">
      <formula1>Lists!$V$2:$V$7</formula1>
    </dataValidation>
    <dataValidation sqref="I3:I5000" showDropDown="0" showInputMessage="0" showErrorMessage="0" allowBlank="1" errorTitle="Invalid" error="Pick a value from the list" type="list">
      <formula1>Lists!$U$2:$U$13</formula1>
    </dataValidation>
    <dataValidation sqref="J3:J5000" showDropDown="0" showInputMessage="0" showErrorMessage="0" allowBlank="1" errorTitle="Invalid" error="Pick a value from the list" type="list">
      <formula1>Lists!$S$2:$S$6</formula1>
    </dataValidation>
    <dataValidation sqref="K3:K5000" showDropDown="0" showInputMessage="0" showErrorMessage="0" allowBlank="1" errorTitle="Invalid" error="Pick a value from the list" type="list">
      <formula1>Lists!$O$2:$O$6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6" customWidth="1" min="3" max="3"/>
    <col width="18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9" customWidth="1" min="12" max="12"/>
    <col width="12" customWidth="1" min="13" max="13"/>
  </cols>
  <sheetData>
    <row r="1">
      <c r="A1" s="1" t="inlineStr">
        <is>
          <t>Database Validation</t>
        </is>
      </c>
    </row>
    <row r="2">
      <c r="A2" s="18" t="inlineStr">
        <is>
          <t>Table</t>
        </is>
      </c>
      <c r="B2" s="18" t="inlineStr">
        <is>
          <t>Columns</t>
        </is>
      </c>
      <c r="C2" s="18" t="inlineStr">
        <is>
          <t>Constraints</t>
        </is>
      </c>
      <c r="D2" s="18" t="inlineStr">
        <is>
          <t>Relationships</t>
        </is>
      </c>
      <c r="E2" s="18" t="inlineStr">
        <is>
          <t>Insert</t>
        </is>
      </c>
      <c r="F2" s="18" t="inlineStr">
        <is>
          <t>Update</t>
        </is>
      </c>
      <c r="G2" s="18" t="inlineStr">
        <is>
          <t>Delete</t>
        </is>
      </c>
      <c r="H2" s="18" t="inlineStr">
        <is>
          <t>Foreign Keys</t>
        </is>
      </c>
      <c r="I2" s="18" t="inlineStr">
        <is>
          <t>Indexes</t>
        </is>
      </c>
      <c r="J2" s="18" t="inlineStr">
        <is>
          <t>Triggers</t>
        </is>
      </c>
      <c r="K2" s="18" t="inlineStr">
        <is>
          <t>Views</t>
        </is>
      </c>
      <c r="L2" s="18" t="inlineStr">
        <is>
          <t>Validation Status</t>
        </is>
      </c>
      <c r="M2" s="18" t="inlineStr">
        <is>
          <t>Remarks</t>
        </is>
      </c>
    </row>
    <row r="3">
      <c r="A3" s="19" t="inlineStr">
        <is>
          <t>profiles</t>
        </is>
      </c>
      <c r="B3" s="19" t="inlineStr">
        <is>
          <t>id, credits, plan, onboarding_completed, streak_days</t>
        </is>
      </c>
      <c r="C3" s="19" t="inlineStr">
        <is>
          <t>PK=auth.users</t>
        </is>
      </c>
      <c r="D3" s="19" t="inlineStr">
        <is>
          <t>1:1 auth.users</t>
        </is>
      </c>
      <c r="E3" s="19" t="inlineStr">
        <is>
          <t>Pass</t>
        </is>
      </c>
      <c r="F3" s="19" t="inlineStr">
        <is>
          <t>Pass</t>
        </is>
      </c>
      <c r="G3" s="19" t="inlineStr">
        <is>
          <t>Pass</t>
        </is>
      </c>
      <c r="H3" s="19" t="inlineStr">
        <is>
          <t>Pass</t>
        </is>
      </c>
      <c r="I3" s="19" t="inlineStr">
        <is>
          <t>Pass</t>
        </is>
      </c>
      <c r="J3" s="19" t="inlineStr">
        <is>
          <t>Partial</t>
        </is>
      </c>
      <c r="K3" s="19" t="inlineStr">
        <is>
          <t>N/A</t>
        </is>
      </c>
      <c r="L3" s="19" t="inlineStr">
        <is>
          <t>Pass</t>
        </is>
      </c>
      <c r="M3" s="19" t="inlineStr"/>
    </row>
    <row r="4">
      <c r="A4" s="20" t="inlineStr">
        <is>
          <t>subscriptions</t>
        </is>
      </c>
      <c r="B4" s="20" t="inlineStr">
        <is>
          <t>user_id, plan, status, stripe ids</t>
        </is>
      </c>
      <c r="C4" s="20" t="inlineStr">
        <is>
          <t>status checks</t>
        </is>
      </c>
      <c r="D4" s="20" t="inlineStr">
        <is>
          <t>profiles</t>
        </is>
      </c>
      <c r="E4" s="20" t="inlineStr">
        <is>
          <t>Pass</t>
        </is>
      </c>
      <c r="F4" s="20" t="inlineStr">
        <is>
          <t>Pass</t>
        </is>
      </c>
      <c r="G4" s="20" t="inlineStr">
        <is>
          <t>Pass</t>
        </is>
      </c>
      <c r="H4" s="20" t="inlineStr">
        <is>
          <t>Pass</t>
        </is>
      </c>
      <c r="I4" s="20" t="inlineStr">
        <is>
          <t>Pass</t>
        </is>
      </c>
      <c r="J4" s="20" t="inlineStr">
        <is>
          <t>N/A</t>
        </is>
      </c>
      <c r="K4" s="20" t="inlineStr">
        <is>
          <t>N/A</t>
        </is>
      </c>
      <c r="L4" s="20" t="inlineStr">
        <is>
          <t>Pass</t>
        </is>
      </c>
      <c r="M4" s="20" t="inlineStr">
        <is>
          <t>MRR source</t>
        </is>
      </c>
    </row>
    <row r="5">
      <c r="A5" s="19" t="inlineStr">
        <is>
          <t>credit_transactions</t>
        </is>
      </c>
      <c r="B5" s="19" t="inlineStr">
        <is>
          <t>user_id, amount, reason</t>
        </is>
      </c>
      <c r="C5" s="19" t="inlineStr">
        <is>
          <t>signed amount</t>
        </is>
      </c>
      <c r="D5" s="19" t="inlineStr">
        <is>
          <t>profiles</t>
        </is>
      </c>
      <c r="E5" s="19" t="inlineStr">
        <is>
          <t>Pass</t>
        </is>
      </c>
      <c r="F5" s="19" t="inlineStr">
        <is>
          <t>N/A</t>
        </is>
      </c>
      <c r="G5" s="19" t="inlineStr">
        <is>
          <t>N/A</t>
        </is>
      </c>
      <c r="H5" s="19" t="inlineStr">
        <is>
          <t>Pass</t>
        </is>
      </c>
      <c r="I5" s="19" t="inlineStr">
        <is>
          <t>Pass</t>
        </is>
      </c>
      <c r="J5" s="19" t="inlineStr">
        <is>
          <t>N/A</t>
        </is>
      </c>
      <c r="K5" s="19" t="inlineStr">
        <is>
          <t>N/A</t>
        </is>
      </c>
      <c r="L5" s="19" t="inlineStr">
        <is>
          <t>Pass</t>
        </is>
      </c>
      <c r="M5" s="19" t="inlineStr">
        <is>
          <t>Not money</t>
        </is>
      </c>
    </row>
    <row r="6">
      <c r="A6" s="20" t="inlineStr">
        <is>
          <t>payment_orders</t>
        </is>
      </c>
      <c r="B6" s="20" t="inlineStr">
        <is>
          <t>amount_paise, status</t>
        </is>
      </c>
      <c r="C6" s="20" t="inlineStr">
        <is>
          <t>incl refunded</t>
        </is>
      </c>
      <c r="D6" s="20" t="inlineStr">
        <is>
          <t>profiles</t>
        </is>
      </c>
      <c r="E6" s="20" t="inlineStr">
        <is>
          <t>Pass</t>
        </is>
      </c>
      <c r="F6" s="20" t="inlineStr">
        <is>
          <t>Pass</t>
        </is>
      </c>
      <c r="G6" s="20" t="inlineStr">
        <is>
          <t>N/A</t>
        </is>
      </c>
      <c r="H6" s="20" t="inlineStr">
        <is>
          <t>Pass</t>
        </is>
      </c>
      <c r="I6" s="20" t="inlineStr">
        <is>
          <t>Pass</t>
        </is>
      </c>
      <c r="J6" s="20" t="inlineStr">
        <is>
          <t>N/A</t>
        </is>
      </c>
      <c r="K6" s="20" t="inlineStr">
        <is>
          <t>N/A</t>
        </is>
      </c>
      <c r="L6" s="20" t="inlineStr">
        <is>
          <t>Pass</t>
        </is>
      </c>
      <c r="M6" s="20" t="inlineStr">
        <is>
          <t>INR</t>
        </is>
      </c>
    </row>
    <row r="7">
      <c r="A7" s="19" t="inlineStr">
        <is>
          <t>sessions</t>
        </is>
      </c>
      <c r="B7" s="19" t="inlineStr">
        <is>
          <t>nullable scores</t>
        </is>
      </c>
      <c r="C7" s="19" t="inlineStr">
        <is>
          <t>RLS user-owned</t>
        </is>
      </c>
      <c r="D7" s="19" t="inlineStr">
        <is>
          <t>answers/debriefs</t>
        </is>
      </c>
      <c r="E7" s="19" t="inlineStr">
        <is>
          <t>Pass</t>
        </is>
      </c>
      <c r="F7" s="19" t="inlineStr">
        <is>
          <t>Pass</t>
        </is>
      </c>
      <c r="G7" s="19" t="inlineStr">
        <is>
          <t>Pass</t>
        </is>
      </c>
      <c r="H7" s="19" t="inlineStr">
        <is>
          <t>Pass</t>
        </is>
      </c>
      <c r="I7" s="19" t="inlineStr">
        <is>
          <t>Pass</t>
        </is>
      </c>
      <c r="J7" s="19" t="inlineStr">
        <is>
          <t>N/A</t>
        </is>
      </c>
      <c r="K7" s="19" t="inlineStr">
        <is>
          <t>N/A</t>
        </is>
      </c>
      <c r="L7" s="19" t="inlineStr">
        <is>
          <t>Pass</t>
        </is>
      </c>
      <c r="M7" s="19" t="inlineStr">
        <is>
          <t>Null≠0</t>
        </is>
      </c>
    </row>
    <row r="8">
      <c r="A8" s="20" t="inlineStr">
        <is>
          <t>questions / mock_tests</t>
        </is>
      </c>
      <c r="B8" s="20" t="inlineStr">
        <is>
          <t>exam_type, options jsonb</t>
        </is>
      </c>
      <c r="C8" s="20" t="inlineStr">
        <is>
          <t>RLS</t>
        </is>
      </c>
      <c r="D8" s="20" t="inlineStr">
        <is>
          <t>exam bank</t>
        </is>
      </c>
      <c r="E8" s="20" t="inlineStr">
        <is>
          <t>Pass</t>
        </is>
      </c>
      <c r="F8" s="20" t="inlineStr">
        <is>
          <t>Pass</t>
        </is>
      </c>
      <c r="G8" s="20" t="inlineStr">
        <is>
          <t>Pass</t>
        </is>
      </c>
      <c r="H8" s="20" t="inlineStr">
        <is>
          <t>Pass</t>
        </is>
      </c>
      <c r="I8" s="20" t="inlineStr">
        <is>
          <t>Partial</t>
        </is>
      </c>
      <c r="J8" s="20" t="inlineStr">
        <is>
          <t>N/A</t>
        </is>
      </c>
      <c r="K8" s="20" t="inlineStr">
        <is>
          <t>N/A</t>
        </is>
      </c>
      <c r="L8" s="20" t="inlineStr">
        <is>
          <t>Partial</t>
        </is>
      </c>
      <c r="M8" s="20" t="inlineStr">
        <is>
          <t>Thin seed</t>
        </is>
      </c>
    </row>
  </sheetData>
  <autoFilter ref="A2:M8"/>
  <mergeCells count="1">
    <mergeCell ref="A1:H1"/>
  </mergeCells>
  <conditionalFormatting sqref="E3:E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F3:F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G3:G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H3:H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I3:I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J3:J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K3:K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L3:L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dataValidations count="8"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7" customWidth="1" min="4" max="4"/>
    <col width="16" customWidth="1" min="5" max="5"/>
    <col width="12" customWidth="1" min="6" max="6"/>
    <col width="20" customWidth="1" min="7" max="7"/>
    <col width="12" customWidth="1" min="8" max="8"/>
    <col width="18" customWidth="1" min="9" max="9"/>
    <col width="12" customWidth="1" min="10" max="10"/>
    <col width="12" customWidth="1" min="11" max="11"/>
    <col width="21" customWidth="1" min="12" max="12"/>
    <col width="12" customWidth="1" min="13" max="13"/>
    <col width="18" customWidth="1" min="14" max="14"/>
  </cols>
  <sheetData>
    <row r="1">
      <c r="A1" s="1" t="inlineStr">
        <is>
          <t>Authentication Testing</t>
        </is>
      </c>
    </row>
    <row r="2">
      <c r="A2" s="18" t="inlineStr">
        <is>
          <t>Portal/Role</t>
        </is>
      </c>
      <c r="B2" s="18" t="inlineStr">
        <is>
          <t>Login</t>
        </is>
      </c>
      <c r="C2" s="18" t="inlineStr">
        <is>
          <t>Signup</t>
        </is>
      </c>
      <c r="D2" s="18" t="inlineStr">
        <is>
          <t>Forgot Password</t>
        </is>
      </c>
      <c r="E2" s="18" t="inlineStr">
        <is>
          <t>Reset Password</t>
        </is>
      </c>
      <c r="F2" s="18" t="inlineStr">
        <is>
          <t>OTP</t>
        </is>
      </c>
      <c r="G2" s="18" t="inlineStr">
        <is>
          <t>Email Verification</t>
        </is>
      </c>
      <c r="H2" s="18" t="inlineStr">
        <is>
          <t>MFA</t>
        </is>
      </c>
      <c r="I2" s="18" t="inlineStr">
        <is>
          <t>Role Permissions</t>
        </is>
      </c>
      <c r="J2" s="18" t="inlineStr">
        <is>
          <t>Session</t>
        </is>
      </c>
      <c r="K2" s="18" t="inlineStr">
        <is>
          <t>Logout</t>
        </is>
      </c>
      <c r="L2" s="18" t="inlineStr">
        <is>
          <t>Unauthorized Access</t>
        </is>
      </c>
      <c r="M2" s="18" t="inlineStr">
        <is>
          <t>Status</t>
        </is>
      </c>
      <c r="N2" s="18" t="inlineStr">
        <is>
          <t>Remarks</t>
        </is>
      </c>
    </row>
    <row r="3">
      <c r="A3" s="19" t="inlineStr">
        <is>
          <t>Guest</t>
        </is>
      </c>
      <c r="B3" s="19" t="inlineStr">
        <is>
          <t>N/A</t>
        </is>
      </c>
      <c r="C3" s="19" t="inlineStr">
        <is>
          <t>Pass</t>
        </is>
      </c>
      <c r="D3" s="19" t="inlineStr">
        <is>
          <t>N/A</t>
        </is>
      </c>
      <c r="E3" s="19" t="inlineStr">
        <is>
          <t>N/A</t>
        </is>
      </c>
      <c r="F3" s="19" t="inlineStr">
        <is>
          <t>N/A</t>
        </is>
      </c>
      <c r="G3" s="19" t="inlineStr">
        <is>
          <t>N/A</t>
        </is>
      </c>
      <c r="H3" s="19" t="inlineStr">
        <is>
          <t>N/A</t>
        </is>
      </c>
      <c r="I3" s="19" t="inlineStr">
        <is>
          <t>Pass</t>
        </is>
      </c>
      <c r="J3" s="19" t="inlineStr">
        <is>
          <t>N/A</t>
        </is>
      </c>
      <c r="K3" s="19" t="inlineStr">
        <is>
          <t>N/A</t>
        </is>
      </c>
      <c r="L3" s="19" t="inlineStr">
        <is>
          <t>Pass</t>
        </is>
      </c>
      <c r="M3" s="19" t="inlineStr">
        <is>
          <t>Pass</t>
        </is>
      </c>
      <c r="N3" s="19" t="inlineStr">
        <is>
          <t>Public marketing</t>
        </is>
      </c>
    </row>
    <row r="4">
      <c r="A4" s="20" t="inlineStr">
        <is>
          <t>Free User</t>
        </is>
      </c>
      <c r="B4" s="20" t="inlineStr">
        <is>
          <t>Pass</t>
        </is>
      </c>
      <c r="C4" s="20" t="inlineStr">
        <is>
          <t>Pass</t>
        </is>
      </c>
      <c r="D4" s="20" t="inlineStr">
        <is>
          <t>Pass</t>
        </is>
      </c>
      <c r="E4" s="20" t="inlineStr">
        <is>
          <t>Pass</t>
        </is>
      </c>
      <c r="F4" s="20" t="inlineStr">
        <is>
          <t>N/A</t>
        </is>
      </c>
      <c r="G4" s="20" t="inlineStr">
        <is>
          <t>Pass</t>
        </is>
      </c>
      <c r="H4" s="20" t="inlineStr">
        <is>
          <t>Pass</t>
        </is>
      </c>
      <c r="I4" s="20" t="inlineStr">
        <is>
          <t>Pass</t>
        </is>
      </c>
      <c r="J4" s="20" t="inlineStr">
        <is>
          <t>Pass</t>
        </is>
      </c>
      <c r="K4" s="20" t="inlineStr">
        <is>
          <t>Pass</t>
        </is>
      </c>
      <c r="L4" s="20" t="inlineStr">
        <is>
          <t>Pass</t>
        </is>
      </c>
      <c r="M4" s="20" t="inlineStr">
        <is>
          <t>Pass</t>
        </is>
      </c>
      <c r="N4" s="20" t="inlineStr">
        <is>
          <t>Limited live</t>
        </is>
      </c>
    </row>
    <row r="5">
      <c r="A5" s="19" t="inlineStr">
        <is>
          <t>Pro User</t>
        </is>
      </c>
      <c r="B5" s="19" t="inlineStr">
        <is>
          <t>Pass</t>
        </is>
      </c>
      <c r="C5" s="19" t="inlineStr">
        <is>
          <t>Pass</t>
        </is>
      </c>
      <c r="D5" s="19" t="inlineStr">
        <is>
          <t>Pass</t>
        </is>
      </c>
      <c r="E5" s="19" t="inlineStr">
        <is>
          <t>Pass</t>
        </is>
      </c>
      <c r="F5" s="19" t="inlineStr">
        <is>
          <t>N/A</t>
        </is>
      </c>
      <c r="G5" s="19" t="inlineStr">
        <is>
          <t>Pass</t>
        </is>
      </c>
      <c r="H5" s="19" t="inlineStr">
        <is>
          <t>Pass</t>
        </is>
      </c>
      <c r="I5" s="19" t="inlineStr">
        <is>
          <t>Pass</t>
        </is>
      </c>
      <c r="J5" s="19" t="inlineStr">
        <is>
          <t>Pass</t>
        </is>
      </c>
      <c r="K5" s="19" t="inlineStr">
        <is>
          <t>Pass</t>
        </is>
      </c>
      <c r="L5" s="19" t="inlineStr">
        <is>
          <t>Pass</t>
        </is>
      </c>
      <c r="M5" s="19" t="inlineStr">
        <is>
          <t>Pass</t>
        </is>
      </c>
      <c r="N5" s="19" t="inlineStr">
        <is>
          <t>Overlay+calendar</t>
        </is>
      </c>
    </row>
    <row r="6">
      <c r="A6" s="20" t="inlineStr">
        <is>
          <t>Max User</t>
        </is>
      </c>
      <c r="B6" s="20" t="inlineStr">
        <is>
          <t>Pass</t>
        </is>
      </c>
      <c r="C6" s="20" t="inlineStr">
        <is>
          <t>Pass</t>
        </is>
      </c>
      <c r="D6" s="20" t="inlineStr">
        <is>
          <t>Pass</t>
        </is>
      </c>
      <c r="E6" s="20" t="inlineStr">
        <is>
          <t>Pass</t>
        </is>
      </c>
      <c r="F6" s="20" t="inlineStr">
        <is>
          <t>N/A</t>
        </is>
      </c>
      <c r="G6" s="20" t="inlineStr">
        <is>
          <t>Pass</t>
        </is>
      </c>
      <c r="H6" s="20" t="inlineStr">
        <is>
          <t>Pass</t>
        </is>
      </c>
      <c r="I6" s="20" t="inlineStr">
        <is>
          <t>Pass</t>
        </is>
      </c>
      <c r="J6" s="20" t="inlineStr">
        <is>
          <t>Pass</t>
        </is>
      </c>
      <c r="K6" s="20" t="inlineStr">
        <is>
          <t>Pass</t>
        </is>
      </c>
      <c r="L6" s="20" t="inlineStr">
        <is>
          <t>Pass</t>
        </is>
      </c>
      <c r="M6" s="20" t="inlineStr">
        <is>
          <t>Pass</t>
        </is>
      </c>
      <c r="N6" s="20" t="inlineStr">
        <is>
          <t>Priority models</t>
        </is>
      </c>
    </row>
    <row r="7">
      <c r="A7" s="19" t="inlineStr">
        <is>
          <t>Admin</t>
        </is>
      </c>
      <c r="B7" s="19" t="inlineStr">
        <is>
          <t>Pass</t>
        </is>
      </c>
      <c r="C7" s="19" t="inlineStr">
        <is>
          <t>N/A</t>
        </is>
      </c>
      <c r="D7" s="19" t="inlineStr">
        <is>
          <t>Pass</t>
        </is>
      </c>
      <c r="E7" s="19" t="inlineStr">
        <is>
          <t>Pass</t>
        </is>
      </c>
      <c r="F7" s="19" t="inlineStr">
        <is>
          <t>N/A</t>
        </is>
      </c>
      <c r="G7" s="19" t="inlineStr">
        <is>
          <t>Pass</t>
        </is>
      </c>
      <c r="H7" s="19" t="inlineStr">
        <is>
          <t>Pass</t>
        </is>
      </c>
      <c r="I7" s="19" t="inlineStr">
        <is>
          <t>Pass</t>
        </is>
      </c>
      <c r="J7" s="19" t="inlineStr">
        <is>
          <t>Pass</t>
        </is>
      </c>
      <c r="K7" s="19" t="inlineStr">
        <is>
          <t>Pass</t>
        </is>
      </c>
      <c r="L7" s="19" t="inlineStr">
        <is>
          <t>Pass</t>
        </is>
      </c>
      <c r="M7" s="19" t="inlineStr">
        <is>
          <t>Pass</t>
        </is>
      </c>
      <c r="N7" s="19" t="inlineStr">
        <is>
          <t>requireAdmin</t>
        </is>
      </c>
    </row>
  </sheetData>
  <autoFilter ref="A2:N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dataValidations count="12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12" customWidth="1" min="4" max="4"/>
    <col width="15" customWidth="1" min="5" max="5"/>
    <col width="16" customWidth="1" min="6" max="6"/>
    <col width="15" customWidth="1" min="7" max="7"/>
    <col width="13" customWidth="1" min="8" max="8"/>
    <col width="18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7" customWidth="1" min="16" max="16"/>
  </cols>
  <sheetData>
    <row r="1">
      <c r="A1" s="1" t="inlineStr">
        <is>
          <t>Security Testing (OWASP-style)</t>
        </is>
      </c>
    </row>
    <row r="2">
      <c r="A2" s="18" t="inlineStr">
        <is>
          <t>Target</t>
        </is>
      </c>
      <c r="B2" s="18" t="inlineStr">
        <is>
          <t>SQL Injection</t>
        </is>
      </c>
      <c r="C2" s="18" t="inlineStr">
        <is>
          <t>XSS</t>
        </is>
      </c>
      <c r="D2" s="18" t="inlineStr">
        <is>
          <t>CSRF</t>
        </is>
      </c>
      <c r="E2" s="18" t="inlineStr">
        <is>
          <t>Rate Limiting</t>
        </is>
      </c>
      <c r="F2" s="18" t="inlineStr">
        <is>
          <t>Authentication</t>
        </is>
      </c>
      <c r="G2" s="18" t="inlineStr">
        <is>
          <t>Authorization</t>
        </is>
      </c>
      <c r="H2" s="18" t="inlineStr">
        <is>
          <t>File Upload</t>
        </is>
      </c>
      <c r="I2" s="18" t="inlineStr">
        <is>
          <t>Input Validation</t>
        </is>
      </c>
      <c r="J2" s="18" t="inlineStr">
        <is>
          <t>Sensitive Data</t>
        </is>
      </c>
      <c r="K2" s="18" t="inlineStr">
        <is>
          <t>Headers</t>
        </is>
      </c>
      <c r="L2" s="18" t="inlineStr">
        <is>
          <t>Cookies</t>
        </is>
      </c>
      <c r="M2" s="18" t="inlineStr">
        <is>
          <t>JWT</t>
        </is>
      </c>
      <c r="N2" s="18" t="inlineStr">
        <is>
          <t>Encryption</t>
        </is>
      </c>
      <c r="O2" s="18" t="inlineStr">
        <is>
          <t>Status</t>
        </is>
      </c>
      <c r="P2" s="18" t="inlineStr">
        <is>
          <t>Remarks</t>
        </is>
      </c>
    </row>
    <row r="3">
      <c r="A3" s="19" t="inlineStr">
        <is>
          <t>Edge shared utils</t>
        </is>
      </c>
      <c r="B3" s="19" t="inlineStr">
        <is>
          <t>Pass</t>
        </is>
      </c>
      <c r="C3" s="19" t="inlineStr">
        <is>
          <t>Pass</t>
        </is>
      </c>
      <c r="D3" s="19" t="inlineStr">
        <is>
          <t>Pass</t>
        </is>
      </c>
      <c r="E3" s="19" t="inlineStr">
        <is>
          <t>Pass</t>
        </is>
      </c>
      <c r="F3" s="19" t="inlineStr">
        <is>
          <t>Pass</t>
        </is>
      </c>
      <c r="G3" s="19" t="inlineStr">
        <is>
          <t>Pass</t>
        </is>
      </c>
      <c r="H3" s="19" t="inlineStr">
        <is>
          <t>N/A</t>
        </is>
      </c>
      <c r="I3" s="19" t="inlineStr">
        <is>
          <t>Pass</t>
        </is>
      </c>
      <c r="J3" s="19" t="inlineStr">
        <is>
          <t>Pass</t>
        </is>
      </c>
      <c r="K3" s="19" t="inlineStr">
        <is>
          <t>Pass</t>
        </is>
      </c>
      <c r="L3" s="19" t="inlineStr">
        <is>
          <t>Pass</t>
        </is>
      </c>
      <c r="M3" s="19" t="inlineStr">
        <is>
          <t>Pass</t>
        </is>
      </c>
      <c r="N3" s="19" t="inlineStr">
        <is>
          <t>Pass</t>
        </is>
      </c>
      <c r="O3" s="19" t="inlineStr">
        <is>
          <t>Pass</t>
        </is>
      </c>
      <c r="P3" s="19" t="inlineStr">
        <is>
          <t>BYOK removed</t>
        </is>
      </c>
    </row>
    <row r="4">
      <c r="A4" s="20" t="inlineStr">
        <is>
          <t>parse-document</t>
        </is>
      </c>
      <c r="B4" s="20" t="inlineStr">
        <is>
          <t>N/A</t>
        </is>
      </c>
      <c r="C4" s="20" t="inlineStr">
        <is>
          <t>N/A</t>
        </is>
      </c>
      <c r="D4" s="20" t="inlineStr">
        <is>
          <t>N/A</t>
        </is>
      </c>
      <c r="E4" s="20" t="inlineStr">
        <is>
          <t>Pass</t>
        </is>
      </c>
      <c r="F4" s="20" t="inlineStr">
        <is>
          <t>Pass</t>
        </is>
      </c>
      <c r="G4" s="20" t="inlineStr">
        <is>
          <t>Pass</t>
        </is>
      </c>
      <c r="H4" s="20" t="inlineStr">
        <is>
          <t>Pass</t>
        </is>
      </c>
      <c r="I4" s="20" t="inlineStr">
        <is>
          <t>Pass</t>
        </is>
      </c>
      <c r="J4" s="20" t="inlineStr">
        <is>
          <t>Pass</t>
        </is>
      </c>
      <c r="K4" s="20" t="inlineStr">
        <is>
          <t>Pass</t>
        </is>
      </c>
      <c r="L4" s="20" t="inlineStr">
        <is>
          <t>N/A</t>
        </is>
      </c>
      <c r="M4" s="20" t="inlineStr">
        <is>
          <t>Pass</t>
        </is>
      </c>
      <c r="N4" s="20" t="inlineStr">
        <is>
          <t>Pass</t>
        </is>
      </c>
      <c r="O4" s="20" t="inlineStr">
        <is>
          <t>Pass</t>
        </is>
      </c>
      <c r="P4" s="20" t="inlineStr">
        <is>
          <t>Key in header</t>
        </is>
      </c>
    </row>
    <row r="5">
      <c r="A5" s="19" t="inlineStr">
        <is>
          <t>stripe-webhook</t>
        </is>
      </c>
      <c r="B5" s="19" t="inlineStr">
        <is>
          <t>N/A</t>
        </is>
      </c>
      <c r="C5" s="19" t="inlineStr">
        <is>
          <t>N/A</t>
        </is>
      </c>
      <c r="D5" s="19" t="inlineStr">
        <is>
          <t>Pass</t>
        </is>
      </c>
      <c r="E5" s="19" t="inlineStr">
        <is>
          <t>N/A</t>
        </is>
      </c>
      <c r="F5" s="19" t="inlineStr">
        <is>
          <t>Pass</t>
        </is>
      </c>
      <c r="G5" s="19" t="inlineStr">
        <is>
          <t>Pass</t>
        </is>
      </c>
      <c r="H5" s="19" t="inlineStr">
        <is>
          <t>N/A</t>
        </is>
      </c>
      <c r="I5" s="19" t="inlineStr">
        <is>
          <t>Pass</t>
        </is>
      </c>
      <c r="J5" s="19" t="inlineStr">
        <is>
          <t>Pass</t>
        </is>
      </c>
      <c r="K5" s="19" t="inlineStr">
        <is>
          <t>Pass</t>
        </is>
      </c>
      <c r="L5" s="19" t="inlineStr">
        <is>
          <t>N/A</t>
        </is>
      </c>
      <c r="M5" s="19" t="inlineStr">
        <is>
          <t>N/A</t>
        </is>
      </c>
      <c r="N5" s="19" t="inlineStr">
        <is>
          <t>Pass</t>
        </is>
      </c>
      <c r="O5" s="19" t="inlineStr">
        <is>
          <t>Pass</t>
        </is>
      </c>
      <c r="P5" s="19" t="inlineStr">
        <is>
          <t>HMAC</t>
        </is>
      </c>
    </row>
    <row r="6">
      <c r="A6" s="20" t="inlineStr">
        <is>
          <t>Admin bulk_update_users</t>
        </is>
      </c>
      <c r="B6" s="20" t="inlineStr">
        <is>
          <t>Pass</t>
        </is>
      </c>
      <c r="C6" s="20" t="inlineStr">
        <is>
          <t>N/A</t>
        </is>
      </c>
      <c r="D6" s="20" t="inlineStr">
        <is>
          <t>Pass</t>
        </is>
      </c>
      <c r="E6" s="20" t="inlineStr">
        <is>
          <t>N/A</t>
        </is>
      </c>
      <c r="F6" s="20" t="inlineStr">
        <is>
          <t>Pass</t>
        </is>
      </c>
      <c r="G6" s="20" t="inlineStr">
        <is>
          <t>Pass</t>
        </is>
      </c>
      <c r="H6" s="20" t="inlineStr">
        <is>
          <t>N/A</t>
        </is>
      </c>
      <c r="I6" s="20" t="inlineStr">
        <is>
          <t>Pass</t>
        </is>
      </c>
      <c r="J6" s="20" t="inlineStr">
        <is>
          <t>Pass</t>
        </is>
      </c>
      <c r="K6" s="20" t="inlineStr">
        <is>
          <t>N/A</t>
        </is>
      </c>
      <c r="L6" s="20" t="inlineStr">
        <is>
          <t>N/A</t>
        </is>
      </c>
      <c r="M6" s="20" t="inlineStr">
        <is>
          <t>Pass</t>
        </is>
      </c>
      <c r="N6" s="20" t="inlineStr">
        <is>
          <t>Pass</t>
        </is>
      </c>
      <c r="O6" s="20" t="inlineStr">
        <is>
          <t>Pass</t>
        </is>
      </c>
      <c r="P6" s="20" t="inlineStr">
        <is>
          <t>M5</t>
        </is>
      </c>
    </row>
    <row r="7">
      <c r="A7" s="19" t="inlineStr">
        <is>
          <t>Resume storage</t>
        </is>
      </c>
      <c r="B7" s="19" t="inlineStr">
        <is>
          <t>N/A</t>
        </is>
      </c>
      <c r="C7" s="19" t="inlineStr">
        <is>
          <t>Pass</t>
        </is>
      </c>
      <c r="D7" s="19" t="inlineStr">
        <is>
          <t>Pass</t>
        </is>
      </c>
      <c r="E7" s="19" t="inlineStr">
        <is>
          <t>Pass</t>
        </is>
      </c>
      <c r="F7" s="19" t="inlineStr">
        <is>
          <t>Pass</t>
        </is>
      </c>
      <c r="G7" s="19" t="inlineStr">
        <is>
          <t>Pass</t>
        </is>
      </c>
      <c r="H7" s="19" t="inlineStr">
        <is>
          <t>Pass</t>
        </is>
      </c>
      <c r="I7" s="19" t="inlineStr">
        <is>
          <t>Pass</t>
        </is>
      </c>
      <c r="J7" s="19" t="inlineStr">
        <is>
          <t>Pass</t>
        </is>
      </c>
      <c r="K7" s="19" t="inlineStr">
        <is>
          <t>Pass</t>
        </is>
      </c>
      <c r="L7" s="19" t="inlineStr">
        <is>
          <t>Pass</t>
        </is>
      </c>
      <c r="M7" s="19" t="inlineStr">
        <is>
          <t>Pass</t>
        </is>
      </c>
      <c r="N7" s="19" t="inlineStr">
        <is>
          <t>Pass</t>
        </is>
      </c>
      <c r="O7" s="19" t="inlineStr">
        <is>
          <t>Pass</t>
        </is>
      </c>
      <c r="P7" s="19" t="inlineStr">
        <is>
          <t>Bucket RLS</t>
        </is>
      </c>
    </row>
    <row r="8">
      <c r="A8" s="20" t="inlineStr">
        <is>
          <t>.env.production history</t>
        </is>
      </c>
      <c r="B8" s="20" t="inlineStr">
        <is>
          <t>N/A</t>
        </is>
      </c>
      <c r="C8" s="20" t="inlineStr">
        <is>
          <t>N/A</t>
        </is>
      </c>
      <c r="D8" s="20" t="inlineStr">
        <is>
          <t>N/A</t>
        </is>
      </c>
      <c r="E8" s="20" t="inlineStr">
        <is>
          <t>N/A</t>
        </is>
      </c>
      <c r="F8" s="20" t="inlineStr">
        <is>
          <t>N/A</t>
        </is>
      </c>
      <c r="G8" s="20" t="inlineStr">
        <is>
          <t>N/A</t>
        </is>
      </c>
      <c r="H8" s="20" t="inlineStr">
        <is>
          <t>N/A</t>
        </is>
      </c>
      <c r="I8" s="20" t="inlineStr">
        <is>
          <t>N/A</t>
        </is>
      </c>
      <c r="J8" s="20" t="inlineStr">
        <is>
          <t>Fail</t>
        </is>
      </c>
      <c r="K8" s="20" t="inlineStr">
        <is>
          <t>N/A</t>
        </is>
      </c>
      <c r="L8" s="20" t="inlineStr">
        <is>
          <t>N/A</t>
        </is>
      </c>
      <c r="M8" s="20" t="inlineStr">
        <is>
          <t>Partial</t>
        </is>
      </c>
      <c r="N8" s="20" t="inlineStr">
        <is>
          <t>N/A</t>
        </is>
      </c>
      <c r="O8" s="20" t="inlineStr">
        <is>
          <t>Fail</t>
        </is>
      </c>
      <c r="P8" s="20" t="inlineStr">
        <is>
          <t>Rotate anon key</t>
        </is>
      </c>
    </row>
  </sheetData>
  <autoFilter ref="A2:P8"/>
  <mergeCells count="1">
    <mergeCell ref="A1:H1"/>
  </mergeCells>
  <conditionalFormatting sqref="O3:O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14">
    <dataValidation sqref="B3:B5000" showDropDown="0" showInputMessage="0" showErrorMessage="0" allowBlank="1" errorTitle="Invalid" error="Pick a value from the list" type="list">
      <formula1>Lists!$O$2:$O$6</formula1>
    </dataValidation>
    <dataValidation sqref="C3:C5000" showDropDown="0" showInputMessage="0" showErrorMessage="0" allowBlank="1" errorTitle="Invalid" error="Pick a value from the list" type="list">
      <formula1>Lists!$O$2:$O$6</formula1>
    </dataValidation>
    <dataValidation sqref="D3:D5000" showDropDown="0" showInputMessage="0" showErrorMessage="0" allowBlank="1" errorTitle="Invalid" error="Pick a value from the list" type="list">
      <formula1>Lists!$O$2:$O$6</formula1>
    </dataValidation>
    <dataValidation sqref="E3:E5000" showDropDown="0" showInputMessage="0" showErrorMessage="0" allowBlank="1" errorTitle="Invalid" error="Pick a value from the list" type="list">
      <formula1>Lists!$O$2:$O$6</formula1>
    </dataValidation>
    <dataValidation sqref="F3:F5000" showDropDown="0" showInputMessage="0" showErrorMessage="0" allowBlank="1" errorTitle="Invalid" error="Pick a value from the list" type="list">
      <formula1>Lists!$O$2:$O$6</formula1>
    </dataValidation>
    <dataValidation sqref="G3:G5000" showDropDown="0" showInputMessage="0" showErrorMessage="0" allowBlank="1" errorTitle="Invalid" error="Pick a value from the list" type="list">
      <formula1>Lists!$O$2:$O$6</formula1>
    </dataValidation>
    <dataValidation sqref="H3:H5000" showDropDown="0" showInputMessage="0" showErrorMessage="0" allowBlank="1" errorTitle="Invalid" error="Pick a value from the list" type="list">
      <formula1>Lists!$O$2:$O$6</formula1>
    </dataValidation>
    <dataValidation sqref="I3:I5000" showDropDown="0" showInputMessage="0" showErrorMessage="0" allowBlank="1" errorTitle="Invalid" error="Pick a value from the list" type="list">
      <formula1>Lists!$O$2:$O$6</formula1>
    </dataValidation>
    <dataValidation sqref="J3:J5000" showDropDown="0" showInputMessage="0" showErrorMessage="0" allowBlank="1" errorTitle="Invalid" error="Pick a value from the list" type="list">
      <formula1>Lists!$O$2:$O$6</formula1>
    </dataValidation>
    <dataValidation sqref="K3:K5000" showDropDown="0" showInputMessage="0" showErrorMessage="0" allowBlank="1" errorTitle="Invalid" error="Pick a value from the list" type="list">
      <formula1>Lists!$O$2:$O$6</formula1>
    </dataValidation>
    <dataValidation sqref="L3:L5000" showDropDown="0" showInputMessage="0" showErrorMessage="0" allowBlank="1" errorTitle="Invalid" error="Pick a value from the list" type="list">
      <formula1>Lists!$O$2:$O$6</formula1>
    </dataValidation>
    <dataValidation sqref="M3:M5000" showDropDown="0" showInputMessage="0" showErrorMessage="0" allowBlank="1" errorTitle="Invalid" error="Pick a value from the list" type="list">
      <formula1>Lists!$O$2:$O$6</formula1>
    </dataValidation>
    <dataValidation sqref="N3:N5000" showDropDown="0" showInputMessage="0" showErrorMessage="0" allowBlank="1" errorTitle="Invalid" error="Pick a value from the list" type="list">
      <formula1>Lists!$O$2:$O$6</formula1>
    </dataValidation>
    <dataValidation sqref="O3:O5000" showDropDown="0" showInputMessage="0" showErrorMessage="0" allowBlank="1" errorTitle="Invalid" error="Pick a value from the list" type="list">
      <formula1>Lists!$O$2:$O$6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3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  <col width="21" customWidth="1" min="9" max="9"/>
    <col width="12" customWidth="1" min="10" max="10"/>
  </cols>
  <sheetData>
    <row r="1">
      <c r="A1" s="1" t="inlineStr">
        <is>
          <t>Performance Testing</t>
        </is>
      </c>
    </row>
    <row r="2">
      <c r="A2" s="18" t="inlineStr">
        <is>
          <t>Screen</t>
        </is>
      </c>
      <c r="B2" s="18" t="inlineStr">
        <is>
          <t>API</t>
        </is>
      </c>
      <c r="C2" s="18" t="inlineStr">
        <is>
          <t>Load Time</t>
        </is>
      </c>
      <c r="D2" s="18" t="inlineStr">
        <is>
          <t>TTFB</t>
        </is>
      </c>
      <c r="E2" s="18" t="inlineStr">
        <is>
          <t>Database Query</t>
        </is>
      </c>
      <c r="F2" s="18" t="inlineStr">
        <is>
          <t>Memory</t>
        </is>
      </c>
      <c r="G2" s="18" t="inlineStr">
        <is>
          <t>CPU</t>
        </is>
      </c>
      <c r="H2" s="18" t="inlineStr">
        <is>
          <t>Network</t>
        </is>
      </c>
      <c r="I2" s="18" t="inlineStr">
        <is>
          <t>Optimization Needed</t>
        </is>
      </c>
      <c r="J2" s="18" t="inlineStr">
        <is>
          <t>Status</t>
        </is>
      </c>
    </row>
    <row r="3">
      <c r="A3" s="19" t="inlineStr">
        <is>
          <t>/app/dashboard</t>
        </is>
      </c>
      <c r="B3" s="19" t="inlineStr">
        <is>
          <t>profile+sessions</t>
        </is>
      </c>
      <c r="C3" s="19" t="inlineStr">
        <is>
          <t>1200ms</t>
        </is>
      </c>
      <c r="D3" s="19" t="inlineStr">
        <is>
          <t>180ms</t>
        </is>
      </c>
      <c r="E3" s="19" t="inlineStr">
        <is>
          <t>90ms</t>
        </is>
      </c>
      <c r="F3" s="19" t="inlineStr">
        <is>
          <t>85MB</t>
        </is>
      </c>
      <c r="G3" s="19" t="inlineStr">
        <is>
          <t>12%</t>
        </is>
      </c>
      <c r="H3" s="19" t="inlineStr">
        <is>
          <t>220KB</t>
        </is>
      </c>
      <c r="I3" s="19" t="inlineStr">
        <is>
          <t>No</t>
        </is>
      </c>
      <c r="J3" s="19" t="inlineStr">
        <is>
          <t>Pass</t>
        </is>
      </c>
    </row>
    <row r="4">
      <c r="A4" s="20" t="inlineStr">
        <is>
          <t>/app/live</t>
        </is>
      </c>
      <c r="B4" s="20" t="inlineStr">
        <is>
          <t>generate-answer</t>
        </is>
      </c>
      <c r="C4" s="20" t="inlineStr">
        <is>
          <t>900ms</t>
        </is>
      </c>
      <c r="D4" s="20" t="inlineStr">
        <is>
          <t>200ms</t>
        </is>
      </c>
      <c r="E4" s="20" t="inlineStr">
        <is>
          <t>40ms</t>
        </is>
      </c>
      <c r="F4" s="20" t="inlineStr">
        <is>
          <t>140MB</t>
        </is>
      </c>
      <c r="G4" s="20" t="inlineStr">
        <is>
          <t>28%</t>
        </is>
      </c>
      <c r="H4" s="20" t="inlineStr">
        <is>
          <t>80KB</t>
        </is>
      </c>
      <c r="I4" s="20" t="inlineStr">
        <is>
          <t>Partial</t>
        </is>
      </c>
      <c r="J4" s="20" t="inlineStr">
        <is>
          <t>Pass</t>
        </is>
      </c>
    </row>
    <row r="5">
      <c r="A5" s="19" t="inlineStr">
        <is>
          <t>/app/admin/users</t>
        </is>
      </c>
      <c r="B5" s="19" t="inlineStr">
        <is>
          <t>paginated users</t>
        </is>
      </c>
      <c r="C5" s="19" t="inlineStr">
        <is>
          <t>2100ms</t>
        </is>
      </c>
      <c r="D5" s="19" t="inlineStr">
        <is>
          <t>320ms</t>
        </is>
      </c>
      <c r="E5" s="19" t="inlineStr">
        <is>
          <t>400ms</t>
        </is>
      </c>
      <c r="F5" s="19" t="inlineStr">
        <is>
          <t>110MB</t>
        </is>
      </c>
      <c r="G5" s="19" t="inlineStr">
        <is>
          <t>18%</t>
        </is>
      </c>
      <c r="H5" s="19" t="inlineStr">
        <is>
          <t>450KB</t>
        </is>
      </c>
      <c r="I5" s="19" t="inlineStr">
        <is>
          <t>Yes</t>
        </is>
      </c>
      <c r="J5" s="19" t="inlineStr">
        <is>
          <t>Partial</t>
        </is>
      </c>
    </row>
    <row r="6">
      <c r="A6" s="20" t="inlineStr">
        <is>
          <t>/pricing</t>
        </is>
      </c>
      <c r="B6" s="20" t="inlineStr">
        <is>
          <t>billing_settings</t>
        </is>
      </c>
      <c r="C6" s="20" t="inlineStr">
        <is>
          <t>800ms</t>
        </is>
      </c>
      <c r="D6" s="20" t="inlineStr">
        <is>
          <t>150ms</t>
        </is>
      </c>
      <c r="E6" s="20" t="inlineStr">
        <is>
          <t>50ms</t>
        </is>
      </c>
      <c r="F6" s="20" t="inlineStr">
        <is>
          <t>70MB</t>
        </is>
      </c>
      <c r="G6" s="20" t="inlineStr">
        <is>
          <t>8%</t>
        </is>
      </c>
      <c r="H6" s="20" t="inlineStr">
        <is>
          <t>160KB</t>
        </is>
      </c>
      <c r="I6" s="20" t="inlineStr">
        <is>
          <t>No</t>
        </is>
      </c>
      <c r="J6" s="20" t="inlineStr">
        <is>
          <t>Pass</t>
        </is>
      </c>
    </row>
    <row r="7">
      <c r="A7" s="19" t="inlineStr">
        <is>
          <t>/app/mock-test/session</t>
        </is>
      </c>
      <c r="B7" s="19" t="inlineStr">
        <is>
          <t>select-test-questions</t>
        </is>
      </c>
      <c r="C7" s="19" t="inlineStr">
        <is>
          <t>1500ms</t>
        </is>
      </c>
      <c r="D7" s="19" t="inlineStr">
        <is>
          <t>250ms</t>
        </is>
      </c>
      <c r="E7" s="19" t="inlineStr">
        <is>
          <t>180ms</t>
        </is>
      </c>
      <c r="F7" s="19" t="inlineStr">
        <is>
          <t>95MB</t>
        </is>
      </c>
      <c r="G7" s="19" t="inlineStr">
        <is>
          <t>15%</t>
        </is>
      </c>
      <c r="H7" s="19" t="inlineStr">
        <is>
          <t>300KB</t>
        </is>
      </c>
      <c r="I7" s="19" t="inlineStr">
        <is>
          <t>Partial</t>
        </is>
      </c>
      <c r="J7" s="19" t="inlineStr">
        <is>
          <t>Pass</t>
        </is>
      </c>
    </row>
  </sheetData>
  <autoFilter ref="A2:J7"/>
  <mergeCells count="1">
    <mergeCell ref="A1:H1"/>
  </mergeCells>
  <conditionalFormatting sqref="J3:J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2">
    <dataValidation sqref="I3:I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5" customWidth="1" min="6" max="6"/>
    <col width="16" customWidth="1" min="7" max="7"/>
    <col width="12" customWidth="1" min="8" max="8"/>
    <col width="12" customWidth="1" min="9" max="9"/>
    <col width="17" customWidth="1" min="10" max="10"/>
    <col width="14" customWidth="1" min="11" max="11"/>
    <col width="15" customWidth="1" min="12" max="12"/>
    <col width="12" customWidth="1" min="13" max="13"/>
    <col width="13" customWidth="1" min="14" max="14"/>
    <col width="19" customWidth="1" min="15" max="15"/>
  </cols>
  <sheetData>
    <row r="1">
      <c r="A1" s="1" t="inlineStr">
        <is>
          <t>Domain: Live Coaching &amp; Electron Overlay (replaces Marketplace)</t>
        </is>
      </c>
    </row>
    <row r="2">
      <c r="A2" s="18" t="inlineStr">
        <is>
          <t>Case ID</t>
        </is>
      </c>
      <c r="B2" s="18" t="inlineStr">
        <is>
          <t>STT Stream</t>
        </is>
      </c>
      <c r="C2" s="18" t="inlineStr">
        <is>
          <t>Diarization</t>
        </is>
      </c>
      <c r="D2" s="18" t="inlineStr">
        <is>
          <t>AI Hint</t>
        </is>
      </c>
      <c r="E2" s="18" t="inlineStr">
        <is>
          <t>AI Answer</t>
        </is>
      </c>
      <c r="F2" s="18" t="inlineStr">
        <is>
          <t>Credit Deduct</t>
        </is>
      </c>
      <c r="G2" s="18" t="inlineStr">
        <is>
          <t>Overlay Window</t>
        </is>
      </c>
      <c r="H2" s="18" t="inlineStr">
        <is>
          <t>Hotkeys</t>
        </is>
      </c>
      <c r="I2" s="18" t="inlineStr">
        <is>
          <t>Pro Gate</t>
        </is>
      </c>
      <c r="J2" s="18" t="inlineStr">
        <is>
          <t>Session Persist</t>
        </is>
      </c>
      <c r="K2" s="18" t="inlineStr">
        <is>
          <t>Debrief Link</t>
        </is>
      </c>
      <c r="L2" s="18" t="inlineStr">
        <is>
          <t>Electron Boot</t>
        </is>
      </c>
      <c r="M2" s="18" t="inlineStr">
        <is>
          <t>Pass</t>
        </is>
      </c>
      <c r="N2" s="18" t="inlineStr">
        <is>
          <t>Status</t>
        </is>
      </c>
      <c r="O2" s="18" t="inlineStr">
        <is>
          <t>Comments</t>
        </is>
      </c>
    </row>
    <row r="3">
      <c r="A3" s="19" t="inlineStr">
        <is>
          <t>LC-01</t>
        </is>
      </c>
      <c r="B3" s="19" t="inlineStr">
        <is>
          <t>Pass</t>
        </is>
      </c>
      <c r="C3" s="19" t="inlineStr">
        <is>
          <t>Pass</t>
        </is>
      </c>
      <c r="D3" s="19" t="inlineStr">
        <is>
          <t>Pass</t>
        </is>
      </c>
      <c r="E3" s="19" t="inlineStr">
        <is>
          <t>Pass</t>
        </is>
      </c>
      <c r="F3" s="19" t="inlineStr">
        <is>
          <t>Pass</t>
        </is>
      </c>
      <c r="G3" s="19" t="inlineStr">
        <is>
          <t>Pass</t>
        </is>
      </c>
      <c r="H3" s="19" t="inlineStr">
        <is>
          <t>Pass</t>
        </is>
      </c>
      <c r="I3" s="19" t="inlineStr">
        <is>
          <t>Pass</t>
        </is>
      </c>
      <c r="J3" s="19" t="inlineStr">
        <is>
          <t>Pass</t>
        </is>
      </c>
      <c r="K3" s="19" t="inlineStr">
        <is>
          <t>Pass</t>
        </is>
      </c>
      <c r="L3" s="19" t="inlineStr">
        <is>
          <t>Pass</t>
        </is>
      </c>
      <c r="M3" s="19" t="inlineStr">
        <is>
          <t>Pass</t>
        </is>
      </c>
      <c r="N3" s="19" t="inlineStr">
        <is>
          <t>Completed</t>
        </is>
      </c>
      <c r="O3" s="19" t="inlineStr">
        <is>
          <t>Pro happy path</t>
        </is>
      </c>
    </row>
    <row r="4">
      <c r="A4" s="20" t="inlineStr">
        <is>
          <t>LC-02</t>
        </is>
      </c>
      <c r="B4" s="20" t="inlineStr">
        <is>
          <t>Pass</t>
        </is>
      </c>
      <c r="C4" s="20" t="inlineStr">
        <is>
          <t>Pass</t>
        </is>
      </c>
      <c r="D4" s="20" t="inlineStr">
        <is>
          <t>Pass</t>
        </is>
      </c>
      <c r="E4" s="20" t="inlineStr">
        <is>
          <t>N/A</t>
        </is>
      </c>
      <c r="F4" s="20" t="inlineStr">
        <is>
          <t>Pass</t>
        </is>
      </c>
      <c r="G4" s="20" t="inlineStr">
        <is>
          <t>N/A</t>
        </is>
      </c>
      <c r="H4" s="20" t="inlineStr">
        <is>
          <t>N/A</t>
        </is>
      </c>
      <c r="I4" s="20" t="inlineStr">
        <is>
          <t>N/A</t>
        </is>
      </c>
      <c r="J4" s="20" t="inlineStr">
        <is>
          <t>Pass</t>
        </is>
      </c>
      <c r="K4" s="20" t="inlineStr">
        <is>
          <t>Pass</t>
        </is>
      </c>
      <c r="L4" s="20" t="inlineStr">
        <is>
          <t>N/A</t>
        </is>
      </c>
      <c r="M4" s="20" t="inlineStr">
        <is>
          <t>Pass</t>
        </is>
      </c>
      <c r="N4" s="20" t="inlineStr">
        <is>
          <t>Completed</t>
        </is>
      </c>
      <c r="O4" s="20" t="inlineStr">
        <is>
          <t>Web live</t>
        </is>
      </c>
    </row>
    <row r="5">
      <c r="A5" s="19" t="inlineStr">
        <is>
          <t>LC-03</t>
        </is>
      </c>
      <c r="B5" s="19" t="inlineStr">
        <is>
          <t>Pass</t>
        </is>
      </c>
      <c r="C5" s="19" t="inlineStr">
        <is>
          <t>Partial</t>
        </is>
      </c>
      <c r="D5" s="19" t="inlineStr">
        <is>
          <t>Fail</t>
        </is>
      </c>
      <c r="E5" s="19" t="inlineStr">
        <is>
          <t>Fail</t>
        </is>
      </c>
      <c r="F5" s="19" t="inlineStr">
        <is>
          <t>N/A</t>
        </is>
      </c>
      <c r="G5" s="19" t="inlineStr">
        <is>
          <t>N/A</t>
        </is>
      </c>
      <c r="H5" s="19" t="inlineStr">
        <is>
          <t>N/A</t>
        </is>
      </c>
      <c r="I5" s="19" t="inlineStr">
        <is>
          <t>Pass</t>
        </is>
      </c>
      <c r="J5" s="19" t="inlineStr">
        <is>
          <t>N/A</t>
        </is>
      </c>
      <c r="K5" s="19" t="inlineStr">
        <is>
          <t>N/A</t>
        </is>
      </c>
      <c r="L5" s="19" t="inlineStr">
        <is>
          <t>N/A</t>
        </is>
      </c>
      <c r="M5" s="19" t="inlineStr">
        <is>
          <t>Fail</t>
        </is>
      </c>
      <c r="N5" s="19" t="inlineStr">
        <is>
          <t>In Progress</t>
        </is>
      </c>
      <c r="O5" s="19" t="inlineStr">
        <is>
          <t>402 path TC-011</t>
        </is>
      </c>
    </row>
    <row r="6">
      <c r="A6" s="20" t="inlineStr">
        <is>
          <t>LC-04</t>
        </is>
      </c>
      <c r="B6" s="20" t="inlineStr">
        <is>
          <t>N/A</t>
        </is>
      </c>
      <c r="C6" s="20" t="inlineStr">
        <is>
          <t>N/A</t>
        </is>
      </c>
      <c r="D6" s="20" t="inlineStr">
        <is>
          <t>N/A</t>
        </is>
      </c>
      <c r="E6" s="20" t="inlineStr">
        <is>
          <t>N/A</t>
        </is>
      </c>
      <c r="F6" s="20" t="inlineStr">
        <is>
          <t>N/A</t>
        </is>
      </c>
      <c r="G6" s="20" t="inlineStr">
        <is>
          <t>Not Run</t>
        </is>
      </c>
      <c r="H6" s="20" t="inlineStr">
        <is>
          <t>Pass</t>
        </is>
      </c>
      <c r="I6" s="20" t="inlineStr">
        <is>
          <t>Pass</t>
        </is>
      </c>
      <c r="J6" s="20" t="inlineStr">
        <is>
          <t>N/A</t>
        </is>
      </c>
      <c r="K6" s="20" t="inlineStr">
        <is>
          <t>N/A</t>
        </is>
      </c>
      <c r="L6" s="20" t="inlineStr">
        <is>
          <t>Not Run</t>
        </is>
      </c>
      <c r="M6" s="20" t="inlineStr">
        <is>
          <t>Not Run</t>
        </is>
      </c>
      <c r="N6" s="20" t="inlineStr">
        <is>
          <t>Ready</t>
        </is>
      </c>
      <c r="O6" s="20" t="inlineStr">
        <is>
          <t>Packaged unsigned</t>
        </is>
      </c>
    </row>
    <row r="7">
      <c r="A7" s="19" t="inlineStr">
        <is>
          <t>LC-05</t>
        </is>
      </c>
      <c r="B7" s="19" t="inlineStr">
        <is>
          <t>Pass</t>
        </is>
      </c>
      <c r="C7" s="19" t="inlineStr">
        <is>
          <t>Pass</t>
        </is>
      </c>
      <c r="D7" s="19" t="inlineStr">
        <is>
          <t>Pass</t>
        </is>
      </c>
      <c r="E7" s="19" t="inlineStr">
        <is>
          <t>Pass</t>
        </is>
      </c>
      <c r="F7" s="19" t="inlineStr">
        <is>
          <t>Pass</t>
        </is>
      </c>
      <c r="G7" s="19" t="inlineStr">
        <is>
          <t>Pass</t>
        </is>
      </c>
      <c r="H7" s="19" t="inlineStr">
        <is>
          <t>Pass</t>
        </is>
      </c>
      <c r="I7" s="19" t="inlineStr">
        <is>
          <t>Pass</t>
        </is>
      </c>
      <c r="J7" s="19" t="inlineStr">
        <is>
          <t>Pass</t>
        </is>
      </c>
      <c r="K7" s="19" t="inlineStr">
        <is>
          <t>Pass</t>
        </is>
      </c>
      <c r="L7" s="19" t="inlineStr">
        <is>
          <t>Partial</t>
        </is>
      </c>
      <c r="M7" s="19" t="inlineStr">
        <is>
          <t>Pass</t>
        </is>
      </c>
      <c r="N7" s="19" t="inlineStr">
        <is>
          <t>Completed</t>
        </is>
      </c>
      <c r="O7" s="19" t="inlineStr">
        <is>
          <t>Hotkey no dup</t>
        </is>
      </c>
    </row>
  </sheetData>
  <autoFilter ref="A2:O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dataValidations count="13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Lists!$A$2:$A$9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5" customWidth="1" min="4" max="4"/>
    <col width="12" customWidth="1" min="5" max="5"/>
    <col width="13" customWidth="1" min="6" max="6"/>
    <col width="15" customWidth="1" min="7" max="7"/>
    <col width="15" customWidth="1" min="8" max="8"/>
    <col width="12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2" customWidth="1" min="15" max="15"/>
    <col width="20" customWidth="1" min="16" max="16"/>
  </cols>
  <sheetData>
    <row r="1">
      <c r="A1" s="1" t="inlineStr">
        <is>
          <t>Domain: Gov Exam Mock Test Engine (replaces Checkout)</t>
        </is>
      </c>
    </row>
    <row r="2">
      <c r="A2" s="18" t="inlineStr">
        <is>
          <t>Case ID</t>
        </is>
      </c>
      <c r="B2" s="18" t="inlineStr">
        <is>
          <t>Exam Select</t>
        </is>
      </c>
      <c r="C2" s="18" t="inlineStr">
        <is>
          <t>Create Test</t>
        </is>
      </c>
      <c r="D2" s="18" t="inlineStr">
        <is>
          <t>Question Load</t>
        </is>
      </c>
      <c r="E2" s="18" t="inlineStr">
        <is>
          <t>Timer</t>
        </is>
      </c>
      <c r="F2" s="18" t="inlineStr">
        <is>
          <t>Answer Save</t>
        </is>
      </c>
      <c r="G2" s="18" t="inlineStr">
        <is>
          <t>Submit Atomic</t>
        </is>
      </c>
      <c r="H2" s="18" t="inlineStr">
        <is>
          <t>Score Persist</t>
        </is>
      </c>
      <c r="I2" s="18" t="inlineStr">
        <is>
          <t>Results UI</t>
        </is>
      </c>
      <c r="J2" s="18" t="inlineStr">
        <is>
          <t>Analytics</t>
        </is>
      </c>
      <c r="K2" s="18" t="inlineStr">
        <is>
          <t>Admin Filter</t>
        </is>
      </c>
      <c r="L2" s="18" t="inlineStr">
        <is>
          <t>PDF Import</t>
        </is>
      </c>
      <c r="M2" s="18" t="inlineStr">
        <is>
          <t>Bank Coverage</t>
        </is>
      </c>
      <c r="N2" s="18" t="inlineStr">
        <is>
          <t>Pass</t>
        </is>
      </c>
      <c r="O2" s="18" t="inlineStr">
        <is>
          <t>Status</t>
        </is>
      </c>
      <c r="P2" s="18" t="inlineStr">
        <is>
          <t>Comments</t>
        </is>
      </c>
    </row>
    <row r="3">
      <c r="A3" s="19" t="inlineStr">
        <is>
          <t>GE-01</t>
        </is>
      </c>
      <c r="B3" s="19" t="inlineStr">
        <is>
          <t>Pass</t>
        </is>
      </c>
      <c r="C3" s="19" t="inlineStr">
        <is>
          <t>Pass</t>
        </is>
      </c>
      <c r="D3" s="19" t="inlineStr">
        <is>
          <t>Pass</t>
        </is>
      </c>
      <c r="E3" s="19" t="inlineStr">
        <is>
          <t>Pass</t>
        </is>
      </c>
      <c r="F3" s="19" t="inlineStr">
        <is>
          <t>Pass</t>
        </is>
      </c>
      <c r="G3" s="19" t="inlineStr">
        <is>
          <t>Pass</t>
        </is>
      </c>
      <c r="H3" s="19" t="inlineStr">
        <is>
          <t>Pass</t>
        </is>
      </c>
      <c r="I3" s="19" t="inlineStr">
        <is>
          <t>Pass</t>
        </is>
      </c>
      <c r="J3" s="19" t="inlineStr">
        <is>
          <t>Pass</t>
        </is>
      </c>
      <c r="K3" s="19" t="inlineStr">
        <is>
          <t>N/A</t>
        </is>
      </c>
      <c r="L3" s="19" t="inlineStr">
        <is>
          <t>N/A</t>
        </is>
      </c>
      <c r="M3" s="19" t="inlineStr">
        <is>
          <t>Partial</t>
        </is>
      </c>
      <c r="N3" s="19" t="inlineStr">
        <is>
          <t>Pass</t>
        </is>
      </c>
      <c r="O3" s="19" t="inlineStr">
        <is>
          <t>Completed</t>
        </is>
      </c>
      <c r="P3" s="19" t="inlineStr">
        <is>
          <t>Happy path</t>
        </is>
      </c>
    </row>
    <row r="4">
      <c r="A4" s="20" t="inlineStr">
        <is>
          <t>GE-02</t>
        </is>
      </c>
      <c r="B4" s="20" t="inlineStr">
        <is>
          <t>Pass</t>
        </is>
      </c>
      <c r="C4" s="20" t="inlineStr">
        <is>
          <t>Pass</t>
        </is>
      </c>
      <c r="D4" s="20" t="inlineStr">
        <is>
          <t>Pass</t>
        </is>
      </c>
      <c r="E4" s="20" t="inlineStr">
        <is>
          <t>Pass</t>
        </is>
      </c>
      <c r="F4" s="20" t="inlineStr">
        <is>
          <t>Pass</t>
        </is>
      </c>
      <c r="G4" s="20" t="inlineStr">
        <is>
          <t>Pass</t>
        </is>
      </c>
      <c r="H4" s="20" t="inlineStr">
        <is>
          <t>Pass</t>
        </is>
      </c>
      <c r="I4" s="20" t="inlineStr">
        <is>
          <t>Pass</t>
        </is>
      </c>
      <c r="J4" s="20" t="inlineStr">
        <is>
          <t>Partial</t>
        </is>
      </c>
      <c r="K4" s="20" t="inlineStr">
        <is>
          <t>N/A</t>
        </is>
      </c>
      <c r="L4" s="20" t="inlineStr">
        <is>
          <t>N/A</t>
        </is>
      </c>
      <c r="M4" s="20" t="inlineStr">
        <is>
          <t>Partial</t>
        </is>
      </c>
      <c r="N4" s="20" t="inlineStr">
        <is>
          <t>Pass</t>
        </is>
      </c>
      <c r="O4" s="20" t="inlineStr">
        <is>
          <t>Completed</t>
        </is>
      </c>
      <c r="P4" s="20" t="inlineStr">
        <is>
          <t>Idempotent submit</t>
        </is>
      </c>
    </row>
    <row r="5">
      <c r="A5" s="19" t="inlineStr">
        <is>
          <t>GE-03</t>
        </is>
      </c>
      <c r="B5" s="19" t="inlineStr">
        <is>
          <t>Pass</t>
        </is>
      </c>
      <c r="C5" s="19" t="inlineStr">
        <is>
          <t>Pass</t>
        </is>
      </c>
      <c r="D5" s="19" t="inlineStr">
        <is>
          <t>Pass</t>
        </is>
      </c>
      <c r="E5" s="19" t="inlineStr">
        <is>
          <t>Pass</t>
        </is>
      </c>
      <c r="F5" s="19" t="inlineStr">
        <is>
          <t>Pass</t>
        </is>
      </c>
      <c r="G5" s="19" t="inlineStr">
        <is>
          <t>Pass</t>
        </is>
      </c>
      <c r="H5" s="19" t="inlineStr">
        <is>
          <t>Pass</t>
        </is>
      </c>
      <c r="I5" s="19" t="inlineStr">
        <is>
          <t>Pass</t>
        </is>
      </c>
      <c r="J5" s="19" t="inlineStr">
        <is>
          <t>Pass</t>
        </is>
      </c>
      <c r="K5" s="19" t="inlineStr">
        <is>
          <t>N/A</t>
        </is>
      </c>
      <c r="L5" s="19" t="inlineStr">
        <is>
          <t>N/A</t>
        </is>
      </c>
      <c r="M5" s="19" t="inlineStr">
        <is>
          <t>Pass</t>
        </is>
      </c>
      <c r="N5" s="19" t="inlineStr">
        <is>
          <t>Pass</t>
        </is>
      </c>
      <c r="O5" s="19" t="inlineStr">
        <is>
          <t>Completed</t>
        </is>
      </c>
      <c r="P5" s="19" t="inlineStr">
        <is>
          <t>Expanded MCQ seeds</t>
        </is>
      </c>
    </row>
    <row r="6">
      <c r="A6" s="20" t="inlineStr">
        <is>
          <t>GE-04</t>
        </is>
      </c>
      <c r="B6" s="20" t="inlineStr">
        <is>
          <t>N/A</t>
        </is>
      </c>
      <c r="C6" s="20" t="inlineStr">
        <is>
          <t>N/A</t>
        </is>
      </c>
      <c r="D6" s="20" t="inlineStr">
        <is>
          <t>N/A</t>
        </is>
      </c>
      <c r="E6" s="20" t="inlineStr">
        <is>
          <t>N/A</t>
        </is>
      </c>
      <c r="F6" s="20" t="inlineStr">
        <is>
          <t>N/A</t>
        </is>
      </c>
      <c r="G6" s="20" t="inlineStr">
        <is>
          <t>N/A</t>
        </is>
      </c>
      <c r="H6" s="20" t="inlineStr">
        <is>
          <t>N/A</t>
        </is>
      </c>
      <c r="I6" s="20" t="inlineStr">
        <is>
          <t>N/A</t>
        </is>
      </c>
      <c r="J6" s="20" t="inlineStr">
        <is>
          <t>N/A</t>
        </is>
      </c>
      <c r="K6" s="20" t="inlineStr">
        <is>
          <t>Pass</t>
        </is>
      </c>
      <c r="L6" s="20" t="inlineStr">
        <is>
          <t>N/A</t>
        </is>
      </c>
      <c r="M6" s="20" t="inlineStr">
        <is>
          <t>N/A</t>
        </is>
      </c>
      <c r="N6" s="20" t="inlineStr">
        <is>
          <t>Pass</t>
        </is>
      </c>
      <c r="O6" s="20" t="inlineStr">
        <is>
          <t>Completed</t>
        </is>
      </c>
      <c r="P6" s="20" t="inlineStr">
        <is>
          <t>P1-5 filter</t>
        </is>
      </c>
    </row>
    <row r="7">
      <c r="A7" s="19" t="inlineStr">
        <is>
          <t>GE-05</t>
        </is>
      </c>
      <c r="B7" s="19" t="inlineStr">
        <is>
          <t>N/A</t>
        </is>
      </c>
      <c r="C7" s="19" t="inlineStr">
        <is>
          <t>N/A</t>
        </is>
      </c>
      <c r="D7" s="19" t="inlineStr">
        <is>
          <t>N/A</t>
        </is>
      </c>
      <c r="E7" s="19" t="inlineStr">
        <is>
          <t>N/A</t>
        </is>
      </c>
      <c r="F7" s="19" t="inlineStr">
        <is>
          <t>N/A</t>
        </is>
      </c>
      <c r="G7" s="19" t="inlineStr">
        <is>
          <t>N/A</t>
        </is>
      </c>
      <c r="H7" s="19" t="inlineStr">
        <is>
          <t>N/A</t>
        </is>
      </c>
      <c r="I7" s="19" t="inlineStr">
        <is>
          <t>N/A</t>
        </is>
      </c>
      <c r="J7" s="19" t="inlineStr">
        <is>
          <t>N/A</t>
        </is>
      </c>
      <c r="K7" s="19" t="inlineStr">
        <is>
          <t>N/A</t>
        </is>
      </c>
      <c r="L7" s="19" t="inlineStr">
        <is>
          <t>Blocked</t>
        </is>
      </c>
      <c r="M7" s="19" t="inlineStr">
        <is>
          <t>N/A</t>
        </is>
      </c>
      <c r="N7" s="19" t="inlineStr">
        <is>
          <t>Blocked</t>
        </is>
      </c>
      <c r="O7" s="19" t="inlineStr">
        <is>
          <t>Blocked</t>
        </is>
      </c>
      <c r="P7" s="19" t="inlineStr">
        <is>
          <t>Provider quota</t>
        </is>
      </c>
    </row>
  </sheetData>
  <autoFilter ref="A2:P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conditionalFormatting sqref="N3:N500">
    <cfRule type="cellIs" priority="205" operator="equal" dxfId="4">
      <formula>"Pass"</formula>
    </cfRule>
    <cfRule type="cellIs" priority="206" operator="equal" dxfId="4">
      <formula>"PASS"</formula>
    </cfRule>
    <cfRule type="cellIs" priority="207" operator="equal" dxfId="4">
      <formula>"Yes"</formula>
    </cfRule>
    <cfRule type="cellIs" priority="208" operator="equal" dxfId="5">
      <formula>"Fail"</formula>
    </cfRule>
    <cfRule type="cellIs" priority="209" operator="equal" dxfId="5">
      <formula>"FAIL"</formula>
    </cfRule>
    <cfRule type="cellIs" priority="210" operator="equal" dxfId="5">
      <formula>"No"</formula>
    </cfRule>
    <cfRule type="cellIs" priority="211" operator="equal" dxfId="6">
      <formula>"In Progress"</formula>
    </cfRule>
    <cfRule type="cellIs" priority="212" operator="equal" dxfId="6">
      <formula>"Blocked"</formula>
    </cfRule>
    <cfRule type="cellIs" priority="213" operator="equal" dxfId="6">
      <formula>"Partial"</formula>
    </cfRule>
    <cfRule type="cellIs" priority="214" operator="equal" dxfId="7">
      <formula>"Not Started"</formula>
    </cfRule>
    <cfRule type="cellIs" priority="215" operator="equal" dxfId="7">
      <formula>"Not Run"</formula>
    </cfRule>
    <cfRule type="cellIs" priority="216" operator="equal" dxfId="7">
      <formula>"Not Tested"</formula>
    </cfRule>
    <cfRule type="cellIs" priority="217" operator="equal" dxfId="7">
      <formula>"N/A"</formula>
    </cfRule>
    <cfRule type="cellIs" priority="218" operator="equal" dxfId="8">
      <formula>"Completed"</formula>
    </cfRule>
    <cfRule type="cellIs" priority="219" operator="equal" dxfId="8">
      <formula>"Complete"</formula>
    </cfRule>
    <cfRule type="cellIs" priority="220" operator="equal" dxfId="8">
      <formula>"Passed"</formula>
    </cfRule>
    <cfRule type="cellIs" priority="221" operator="equal" dxfId="8">
      <formula>"Ready"</formula>
    </cfRule>
  </conditionalFormatting>
  <dataValidations count="14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Lists!$B$2:$B$7</formula1>
    </dataValidation>
    <dataValidation sqref="O3:O5000" showDropDown="0" showInputMessage="0" showErrorMessage="0" allowBlank="1" errorTitle="Invalid" error="Pick a value from the list" type="list">
      <formula1>Lists!$A$2:$A$9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6" customWidth="1" min="9" max="9"/>
    <col width="19" customWidth="1" min="10" max="10"/>
    <col width="14" customWidth="1" min="11" max="11"/>
    <col width="17" customWidth="1" min="12" max="12"/>
    <col width="12" customWidth="1" min="13" max="13"/>
    <col width="21" customWidth="1" min="14" max="14"/>
    <col width="12" customWidth="1" min="15" max="15"/>
    <col width="12" customWidth="1" min="16" max="16"/>
    <col width="12" customWidth="1" min="17" max="17"/>
    <col width="23" customWidth="1" min="18" max="18"/>
  </cols>
  <sheetData>
    <row r="1">
      <c r="A1" s="1" t="inlineStr">
        <is>
          <t>Domain: Billing, Credits &amp; Subscriptions (replaces Payment)</t>
        </is>
      </c>
    </row>
    <row r="2">
      <c r="A2" s="18" t="inlineStr">
        <is>
          <t>Case ID</t>
        </is>
      </c>
      <c r="B2" s="18" t="inlineStr">
        <is>
          <t>Gateway</t>
        </is>
      </c>
      <c r="C2" s="18" t="inlineStr">
        <is>
          <t>Success</t>
        </is>
      </c>
      <c r="D2" s="18" t="inlineStr">
        <is>
          <t>Failure</t>
        </is>
      </c>
      <c r="E2" s="18" t="inlineStr">
        <is>
          <t>Cancel</t>
        </is>
      </c>
      <c r="F2" s="18" t="inlineStr">
        <is>
          <t>Timeout</t>
        </is>
      </c>
      <c r="G2" s="18" t="inlineStr">
        <is>
          <t>Webhook</t>
        </is>
      </c>
      <c r="H2" s="18" t="inlineStr">
        <is>
          <t>Refund</t>
        </is>
      </c>
      <c r="I2" s="18" t="inlineStr">
        <is>
          <t>Partial Refund</t>
        </is>
      </c>
      <c r="J2" s="18" t="inlineStr">
        <is>
          <t>Duplicate Payment</t>
        </is>
      </c>
      <c r="K2" s="18" t="inlineStr">
        <is>
          <t>Credit Grant</t>
        </is>
      </c>
      <c r="L2" s="18" t="inlineStr">
        <is>
          <t>Credit Clawback</t>
        </is>
      </c>
      <c r="M2" s="18" t="inlineStr">
        <is>
          <t>Plan Gate</t>
        </is>
      </c>
      <c r="N2" s="18" t="inlineStr">
        <is>
          <t>Transaction History</t>
        </is>
      </c>
      <c r="O2" s="18" t="inlineStr">
        <is>
          <t>Settlement</t>
        </is>
      </c>
      <c r="P2" s="18" t="inlineStr">
        <is>
          <t>Pass</t>
        </is>
      </c>
      <c r="Q2" s="18" t="inlineStr">
        <is>
          <t>Status</t>
        </is>
      </c>
      <c r="R2" s="18" t="inlineStr">
        <is>
          <t>Comments</t>
        </is>
      </c>
    </row>
    <row r="3">
      <c r="A3" s="19" t="inlineStr">
        <is>
          <t>BL-01</t>
        </is>
      </c>
      <c r="B3" s="19" t="inlineStr">
        <is>
          <t>Stripe</t>
        </is>
      </c>
      <c r="C3" s="19" t="inlineStr">
        <is>
          <t>Pass</t>
        </is>
      </c>
      <c r="D3" s="19" t="inlineStr">
        <is>
          <t>Pass</t>
        </is>
      </c>
      <c r="E3" s="19" t="inlineStr">
        <is>
          <t>Pass</t>
        </is>
      </c>
      <c r="F3" s="19" t="inlineStr">
        <is>
          <t>Not Run</t>
        </is>
      </c>
      <c r="G3" s="19" t="inlineStr">
        <is>
          <t>Pass</t>
        </is>
      </c>
      <c r="H3" s="19" t="inlineStr">
        <is>
          <t>Not Run</t>
        </is>
      </c>
      <c r="I3" s="19" t="inlineStr">
        <is>
          <t>Not Run</t>
        </is>
      </c>
      <c r="J3" s="19" t="inlineStr">
        <is>
          <t>Pass</t>
        </is>
      </c>
      <c r="K3" s="19" t="inlineStr">
        <is>
          <t>Pass</t>
        </is>
      </c>
      <c r="L3" s="19" t="inlineStr">
        <is>
          <t>N/A</t>
        </is>
      </c>
      <c r="M3" s="19" t="inlineStr">
        <is>
          <t>Pass</t>
        </is>
      </c>
      <c r="N3" s="19" t="inlineStr">
        <is>
          <t>Pass</t>
        </is>
      </c>
      <c r="O3" s="19" t="inlineStr">
        <is>
          <t>N/A</t>
        </is>
      </c>
      <c r="P3" s="19" t="inlineStr">
        <is>
          <t>Pass</t>
        </is>
      </c>
      <c r="Q3" s="19" t="inlineStr">
        <is>
          <t>Completed</t>
        </is>
      </c>
      <c r="R3" s="19" t="inlineStr">
        <is>
          <t>Pro monthly</t>
        </is>
      </c>
    </row>
    <row r="4">
      <c r="A4" s="20" t="inlineStr">
        <is>
          <t>BL-02</t>
        </is>
      </c>
      <c r="B4" s="20" t="inlineStr">
        <is>
          <t>Stripe</t>
        </is>
      </c>
      <c r="C4" s="20" t="inlineStr">
        <is>
          <t>Pass</t>
        </is>
      </c>
      <c r="D4" s="20" t="inlineStr">
        <is>
          <t>N/A</t>
        </is>
      </c>
      <c r="E4" s="20" t="inlineStr">
        <is>
          <t>N/A</t>
        </is>
      </c>
      <c r="F4" s="20" t="inlineStr">
        <is>
          <t>N/A</t>
        </is>
      </c>
      <c r="G4" s="20" t="inlineStr">
        <is>
          <t>Pass</t>
        </is>
      </c>
      <c r="H4" s="20" t="inlineStr">
        <is>
          <t>N/A</t>
        </is>
      </c>
      <c r="I4" s="20" t="inlineStr">
        <is>
          <t>N/A</t>
        </is>
      </c>
      <c r="J4" s="20" t="inlineStr">
        <is>
          <t>N/A</t>
        </is>
      </c>
      <c r="K4" s="20" t="inlineStr">
        <is>
          <t>Pass</t>
        </is>
      </c>
      <c r="L4" s="20" t="inlineStr">
        <is>
          <t>N/A</t>
        </is>
      </c>
      <c r="M4" s="20" t="inlineStr">
        <is>
          <t>Pass</t>
        </is>
      </c>
      <c r="N4" s="20" t="inlineStr">
        <is>
          <t>Pass</t>
        </is>
      </c>
      <c r="O4" s="20" t="inlineStr">
        <is>
          <t>N/A</t>
        </is>
      </c>
      <c r="P4" s="20" t="inlineStr">
        <is>
          <t>Pass</t>
        </is>
      </c>
      <c r="Q4" s="20" t="inlineStr">
        <is>
          <t>Completed</t>
        </is>
      </c>
      <c r="R4" s="20" t="inlineStr">
        <is>
          <t>Max price IDs</t>
        </is>
      </c>
    </row>
    <row r="5">
      <c r="A5" s="19" t="inlineStr">
        <is>
          <t>BL-03</t>
        </is>
      </c>
      <c r="B5" s="19" t="inlineStr">
        <is>
          <t>Stripe</t>
        </is>
      </c>
      <c r="C5" s="19" t="inlineStr">
        <is>
          <t>N/A</t>
        </is>
      </c>
      <c r="D5" s="19" t="inlineStr">
        <is>
          <t>Pass</t>
        </is>
      </c>
      <c r="E5" s="19" t="inlineStr">
        <is>
          <t>N/A</t>
        </is>
      </c>
      <c r="F5" s="19" t="inlineStr">
        <is>
          <t>N/A</t>
        </is>
      </c>
      <c r="G5" s="19" t="inlineStr">
        <is>
          <t>Pass</t>
        </is>
      </c>
      <c r="H5" s="19" t="inlineStr">
        <is>
          <t>N/A</t>
        </is>
      </c>
      <c r="I5" s="19" t="inlineStr">
        <is>
          <t>N/A</t>
        </is>
      </c>
      <c r="J5" s="19" t="inlineStr">
        <is>
          <t>N/A</t>
        </is>
      </c>
      <c r="K5" s="19" t="inlineStr">
        <is>
          <t>N/A</t>
        </is>
      </c>
      <c r="L5" s="19" t="inlineStr">
        <is>
          <t>N/A</t>
        </is>
      </c>
      <c r="M5" s="19" t="inlineStr">
        <is>
          <t>N/A</t>
        </is>
      </c>
      <c r="N5" s="19" t="inlineStr">
        <is>
          <t>Pass</t>
        </is>
      </c>
      <c r="O5" s="19" t="inlineStr">
        <is>
          <t>N/A</t>
        </is>
      </c>
      <c r="P5" s="19" t="inlineStr">
        <is>
          <t>Pass</t>
        </is>
      </c>
      <c r="Q5" s="19" t="inlineStr">
        <is>
          <t>Completed</t>
        </is>
      </c>
      <c r="R5" s="19" t="inlineStr">
        <is>
          <t>payment_failed wallet</t>
        </is>
      </c>
    </row>
    <row r="6">
      <c r="A6" s="20" t="inlineStr">
        <is>
          <t>BL-04</t>
        </is>
      </c>
      <c r="B6" s="20" t="inlineStr">
        <is>
          <t>Razorpay</t>
        </is>
      </c>
      <c r="C6" s="20" t="inlineStr">
        <is>
          <t>Pass</t>
        </is>
      </c>
      <c r="D6" s="20" t="inlineStr">
        <is>
          <t>Pass</t>
        </is>
      </c>
      <c r="E6" s="20" t="inlineStr">
        <is>
          <t>Pass</t>
        </is>
      </c>
      <c r="F6" s="20" t="inlineStr">
        <is>
          <t>Not Run</t>
        </is>
      </c>
      <c r="G6" s="20" t="inlineStr">
        <is>
          <t>Pass</t>
        </is>
      </c>
      <c r="H6" s="20" t="inlineStr">
        <is>
          <t>Not Run</t>
        </is>
      </c>
      <c r="I6" s="20" t="inlineStr">
        <is>
          <t>N/A</t>
        </is>
      </c>
      <c r="J6" s="20" t="inlineStr">
        <is>
          <t>Pass</t>
        </is>
      </c>
      <c r="K6" s="20" t="inlineStr">
        <is>
          <t>Pass</t>
        </is>
      </c>
      <c r="L6" s="20" t="inlineStr">
        <is>
          <t>N/A</t>
        </is>
      </c>
      <c r="M6" s="20" t="inlineStr">
        <is>
          <t>Partial</t>
        </is>
      </c>
      <c r="N6" s="20" t="inlineStr">
        <is>
          <t>Pass</t>
        </is>
      </c>
      <c r="O6" s="20" t="inlineStr">
        <is>
          <t>N/A</t>
        </is>
      </c>
      <c r="P6" s="20" t="inlineStr">
        <is>
          <t>Pass</t>
        </is>
      </c>
      <c r="Q6" s="20" t="inlineStr">
        <is>
          <t>Completed</t>
        </is>
      </c>
      <c r="R6" s="20" t="inlineStr">
        <is>
          <t>One-time only</t>
        </is>
      </c>
    </row>
    <row r="7">
      <c r="A7" s="19" t="inlineStr">
        <is>
          <t>BL-05</t>
        </is>
      </c>
      <c r="B7" s="19" t="inlineStr">
        <is>
          <t>Stripe</t>
        </is>
      </c>
      <c r="C7" s="19" t="inlineStr">
        <is>
          <t>N/A</t>
        </is>
      </c>
      <c r="D7" s="19" t="inlineStr">
        <is>
          <t>N/A</t>
        </is>
      </c>
      <c r="E7" s="19" t="inlineStr">
        <is>
          <t>N/A</t>
        </is>
      </c>
      <c r="F7" s="19" t="inlineStr">
        <is>
          <t>N/A</t>
        </is>
      </c>
      <c r="G7" s="19" t="inlineStr">
        <is>
          <t>Pass</t>
        </is>
      </c>
      <c r="H7" s="19" t="inlineStr">
        <is>
          <t>Not Run</t>
        </is>
      </c>
      <c r="I7" s="19" t="inlineStr">
        <is>
          <t>Not Run</t>
        </is>
      </c>
      <c r="J7" s="19" t="inlineStr">
        <is>
          <t>N/A</t>
        </is>
      </c>
      <c r="K7" s="19" t="inlineStr">
        <is>
          <t>N/A</t>
        </is>
      </c>
      <c r="L7" s="19" t="inlineStr">
        <is>
          <t>Not Run</t>
        </is>
      </c>
      <c r="M7" s="19" t="inlineStr">
        <is>
          <t>N/A</t>
        </is>
      </c>
      <c r="N7" s="19" t="inlineStr">
        <is>
          <t>Pass</t>
        </is>
      </c>
      <c r="O7" s="19" t="inlineStr">
        <is>
          <t>N/A</t>
        </is>
      </c>
      <c r="P7" s="19" t="inlineStr">
        <is>
          <t>Not Run</t>
        </is>
      </c>
      <c r="Q7" s="19" t="inlineStr">
        <is>
          <t>Ready</t>
        </is>
      </c>
      <c r="R7" s="19" t="inlineStr">
        <is>
          <t>P4-2 refund</t>
        </is>
      </c>
    </row>
    <row r="8">
      <c r="A8" s="20" t="inlineStr">
        <is>
          <t>BL-06</t>
        </is>
      </c>
      <c r="B8" s="20" t="inlineStr">
        <is>
          <t>Both</t>
        </is>
      </c>
      <c r="C8" s="20" t="inlineStr">
        <is>
          <t>Pass</t>
        </is>
      </c>
      <c r="D8" s="20" t="inlineStr">
        <is>
          <t>N/A</t>
        </is>
      </c>
      <c r="E8" s="20" t="inlineStr">
        <is>
          <t>N/A</t>
        </is>
      </c>
      <c r="F8" s="20" t="inlineStr">
        <is>
          <t>N/A</t>
        </is>
      </c>
      <c r="G8" s="20" t="inlineStr">
        <is>
          <t>Pass</t>
        </is>
      </c>
      <c r="H8" s="20" t="inlineStr">
        <is>
          <t>N/A</t>
        </is>
      </c>
      <c r="I8" s="20" t="inlineStr">
        <is>
          <t>N/A</t>
        </is>
      </c>
      <c r="J8" s="20" t="inlineStr">
        <is>
          <t>N/A</t>
        </is>
      </c>
      <c r="K8" s="20" t="inlineStr">
        <is>
          <t>Pass</t>
        </is>
      </c>
      <c r="L8" s="20" t="inlineStr">
        <is>
          <t>N/A</t>
        </is>
      </c>
      <c r="M8" s="20" t="inlineStr">
        <is>
          <t>Pass</t>
        </is>
      </c>
      <c r="N8" s="20" t="inlineStr">
        <is>
          <t>Pass</t>
        </is>
      </c>
      <c r="O8" s="20" t="inlineStr">
        <is>
          <t>N/A</t>
        </is>
      </c>
      <c r="P8" s="20" t="inlineStr">
        <is>
          <t>Pass</t>
        </is>
      </c>
      <c r="Q8" s="20" t="inlineStr">
        <is>
          <t>Completed</t>
        </is>
      </c>
      <c r="R8" s="20" t="inlineStr">
        <is>
          <t>Settings ledger</t>
        </is>
      </c>
    </row>
  </sheetData>
  <autoFilter ref="A2:R8"/>
  <mergeCells count="1">
    <mergeCell ref="A1:H1"/>
  </mergeCells>
  <conditionalFormatting sqref="C3:C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D3:D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E3:E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F3:F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G3:G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H3:H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I3:I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J3:J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L3:L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M3:M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N3:N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conditionalFormatting sqref="O3:O500">
    <cfRule type="cellIs" priority="205" operator="equal" dxfId="4">
      <formula>"Pass"</formula>
    </cfRule>
    <cfRule type="cellIs" priority="206" operator="equal" dxfId="4">
      <formula>"PASS"</formula>
    </cfRule>
    <cfRule type="cellIs" priority="207" operator="equal" dxfId="4">
      <formula>"Yes"</formula>
    </cfRule>
    <cfRule type="cellIs" priority="208" operator="equal" dxfId="5">
      <formula>"Fail"</formula>
    </cfRule>
    <cfRule type="cellIs" priority="209" operator="equal" dxfId="5">
      <formula>"FAIL"</formula>
    </cfRule>
    <cfRule type="cellIs" priority="210" operator="equal" dxfId="5">
      <formula>"No"</formula>
    </cfRule>
    <cfRule type="cellIs" priority="211" operator="equal" dxfId="6">
      <formula>"In Progress"</formula>
    </cfRule>
    <cfRule type="cellIs" priority="212" operator="equal" dxfId="6">
      <formula>"Blocked"</formula>
    </cfRule>
    <cfRule type="cellIs" priority="213" operator="equal" dxfId="6">
      <formula>"Partial"</formula>
    </cfRule>
    <cfRule type="cellIs" priority="214" operator="equal" dxfId="7">
      <formula>"Not Started"</formula>
    </cfRule>
    <cfRule type="cellIs" priority="215" operator="equal" dxfId="7">
      <formula>"Not Run"</formula>
    </cfRule>
    <cfRule type="cellIs" priority="216" operator="equal" dxfId="7">
      <formula>"Not Tested"</formula>
    </cfRule>
    <cfRule type="cellIs" priority="217" operator="equal" dxfId="7">
      <formula>"N/A"</formula>
    </cfRule>
    <cfRule type="cellIs" priority="218" operator="equal" dxfId="8">
      <formula>"Completed"</formula>
    </cfRule>
    <cfRule type="cellIs" priority="219" operator="equal" dxfId="8">
      <formula>"Complete"</formula>
    </cfRule>
    <cfRule type="cellIs" priority="220" operator="equal" dxfId="8">
      <formula>"Passed"</formula>
    </cfRule>
    <cfRule type="cellIs" priority="221" operator="equal" dxfId="8">
      <formula>"Ready"</formula>
    </cfRule>
  </conditionalFormatting>
  <conditionalFormatting sqref="P3:P500">
    <cfRule type="cellIs" priority="222" operator="equal" dxfId="4">
      <formula>"Pass"</formula>
    </cfRule>
    <cfRule type="cellIs" priority="223" operator="equal" dxfId="4">
      <formula>"PASS"</formula>
    </cfRule>
    <cfRule type="cellIs" priority="224" operator="equal" dxfId="4">
      <formula>"Yes"</formula>
    </cfRule>
    <cfRule type="cellIs" priority="225" operator="equal" dxfId="5">
      <formula>"Fail"</formula>
    </cfRule>
    <cfRule type="cellIs" priority="226" operator="equal" dxfId="5">
      <formula>"FAIL"</formula>
    </cfRule>
    <cfRule type="cellIs" priority="227" operator="equal" dxfId="5">
      <formula>"No"</formula>
    </cfRule>
    <cfRule type="cellIs" priority="228" operator="equal" dxfId="6">
      <formula>"In Progress"</formula>
    </cfRule>
    <cfRule type="cellIs" priority="229" operator="equal" dxfId="6">
      <formula>"Blocked"</formula>
    </cfRule>
    <cfRule type="cellIs" priority="230" operator="equal" dxfId="6">
      <formula>"Partial"</formula>
    </cfRule>
    <cfRule type="cellIs" priority="231" operator="equal" dxfId="7">
      <formula>"Not Started"</formula>
    </cfRule>
    <cfRule type="cellIs" priority="232" operator="equal" dxfId="7">
      <formula>"Not Run"</formula>
    </cfRule>
    <cfRule type="cellIs" priority="233" operator="equal" dxfId="7">
      <formula>"Not Tested"</formula>
    </cfRule>
    <cfRule type="cellIs" priority="234" operator="equal" dxfId="7">
      <formula>"N/A"</formula>
    </cfRule>
    <cfRule type="cellIs" priority="235" operator="equal" dxfId="8">
      <formula>"Completed"</formula>
    </cfRule>
    <cfRule type="cellIs" priority="236" operator="equal" dxfId="8">
      <formula>"Complete"</formula>
    </cfRule>
    <cfRule type="cellIs" priority="237" operator="equal" dxfId="8">
      <formula>"Passed"</formula>
    </cfRule>
    <cfRule type="cellIs" priority="238" operator="equal" dxfId="8">
      <formula>"Ready"</formula>
    </cfRule>
  </conditionalFormatting>
  <dataValidations count="15"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Lists!$B$2:$B$7</formula1>
    </dataValidation>
    <dataValidation sqref="O3:O5000" showDropDown="0" showInputMessage="0" showErrorMessage="0" allowBlank="1" errorTitle="Invalid" error="Pick a value from the list" type="list">
      <formula1>Lists!$B$2:$B$7</formula1>
    </dataValidation>
    <dataValidation sqref="P3:P5000" showDropDown="0" showInputMessage="0" showErrorMessage="0" allowBlank="1" errorTitle="Invalid" error="Pick a value from the list" type="list">
      <formula1>Lists!$B$2:$B$7</formula1>
    </dataValidation>
    <dataValidation sqref="Q3:Q5000" showDropDown="0" showInputMessage="0" showErrorMessage="0" allowBlank="1" errorTitle="Invalid" error="Pick a value from the list" type="list">
      <formula1>Lists!$A$2:$A$9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  <col width="18" customWidth="1" min="10" max="10"/>
  </cols>
  <sheetData>
    <row r="1">
      <c r="A1" s="1" t="inlineStr">
        <is>
          <t>Role Based Testing — Clarify plan entitlements</t>
        </is>
      </c>
    </row>
    <row r="2">
      <c r="A2" s="18" t="inlineStr">
        <is>
          <t>Permission/Feature</t>
        </is>
      </c>
      <c r="B2" s="18" t="inlineStr">
        <is>
          <t>Module</t>
        </is>
      </c>
      <c r="C2" s="18" t="inlineStr">
        <is>
          <t>Guest</t>
        </is>
      </c>
      <c r="D2" s="18" t="inlineStr">
        <is>
          <t>Free User</t>
        </is>
      </c>
      <c r="E2" s="18" t="inlineStr">
        <is>
          <t>Pro User</t>
        </is>
      </c>
      <c r="F2" s="18" t="inlineStr">
        <is>
          <t>Max User</t>
        </is>
      </c>
      <c r="G2" s="18" t="inlineStr">
        <is>
          <t>Admin</t>
        </is>
      </c>
      <c r="H2" s="18" t="inlineStr">
        <is>
          <t>Permissions</t>
        </is>
      </c>
      <c r="I2" s="18" t="inlineStr">
        <is>
          <t>Status</t>
        </is>
      </c>
      <c r="J2" s="18" t="inlineStr">
        <is>
          <t>Expected Summary</t>
        </is>
      </c>
    </row>
    <row r="3">
      <c r="A3" s="19" t="inlineStr">
        <is>
          <t>Access /app</t>
        </is>
      </c>
      <c r="B3" s="19" t="inlineStr">
        <is>
          <t>Auth &amp; Onboarding</t>
        </is>
      </c>
      <c r="C3" s="19" t="inlineStr">
        <is>
          <t>No</t>
        </is>
      </c>
      <c r="D3" s="19" t="inlineStr">
        <is>
          <t>Yes</t>
        </is>
      </c>
      <c r="E3" s="19" t="inlineStr">
        <is>
          <t>Yes</t>
        </is>
      </c>
      <c r="F3" s="19" t="inlineStr">
        <is>
          <t>Yes</t>
        </is>
      </c>
      <c r="G3" s="19" t="inlineStr">
        <is>
          <t>Yes</t>
        </is>
      </c>
      <c r="H3" s="19" t="inlineStr">
        <is>
          <t>Auth required</t>
        </is>
      </c>
      <c r="I3" s="19" t="inlineStr">
        <is>
          <t>Pass</t>
        </is>
      </c>
      <c r="J3" s="19" t="inlineStr">
        <is>
          <t>Guests → login</t>
        </is>
      </c>
    </row>
    <row r="4">
      <c r="A4" s="20" t="inlineStr">
        <is>
          <t>Live answer limited</t>
        </is>
      </c>
      <c r="B4" s="20" t="inlineStr">
        <is>
          <t>Live Practice Coach</t>
        </is>
      </c>
      <c r="C4" s="20" t="inlineStr">
        <is>
          <t>No</t>
        </is>
      </c>
      <c r="D4" s="20" t="inlineStr">
        <is>
          <t>Yes</t>
        </is>
      </c>
      <c r="E4" s="20" t="inlineStr">
        <is>
          <t>Yes</t>
        </is>
      </c>
      <c r="F4" s="20" t="inlineStr">
        <is>
          <t>Yes</t>
        </is>
      </c>
      <c r="G4" s="20" t="inlineStr">
        <is>
          <t>Yes</t>
        </is>
      </c>
      <c r="H4" s="20" t="inlineStr">
        <is>
          <t>Free limited</t>
        </is>
      </c>
      <c r="I4" s="20" t="inlineStr">
        <is>
          <t>Pass</t>
        </is>
      </c>
      <c r="J4" s="20" t="inlineStr">
        <is>
          <t>live_rehearsal</t>
        </is>
      </c>
    </row>
    <row r="5">
      <c r="A5" s="19" t="inlineStr">
        <is>
          <t>Desktop overlay</t>
        </is>
      </c>
      <c r="B5" s="19" t="inlineStr">
        <is>
          <t>Live Practice Coach</t>
        </is>
      </c>
      <c r="C5" s="19" t="inlineStr">
        <is>
          <t>No</t>
        </is>
      </c>
      <c r="D5" s="19" t="inlineStr">
        <is>
          <t>No</t>
        </is>
      </c>
      <c r="E5" s="19" t="inlineStr">
        <is>
          <t>Yes</t>
        </is>
      </c>
      <c r="F5" s="19" t="inlineStr">
        <is>
          <t>Yes</t>
        </is>
      </c>
      <c r="G5" s="19" t="inlineStr">
        <is>
          <t>Yes</t>
        </is>
      </c>
      <c r="H5" s="19" t="inlineStr">
        <is>
          <t>Pro+</t>
        </is>
      </c>
      <c r="I5" s="19" t="inlineStr">
        <is>
          <t>Pass</t>
        </is>
      </c>
      <c r="J5" s="19" t="inlineStr">
        <is>
          <t>requirePlan pro</t>
        </is>
      </c>
    </row>
    <row r="6">
      <c r="A6" s="20" t="inlineStr">
        <is>
          <t>Company research</t>
        </is>
      </c>
      <c r="B6" s="20" t="inlineStr">
        <is>
          <t>Company Research</t>
        </is>
      </c>
      <c r="C6" s="20" t="inlineStr">
        <is>
          <t>No</t>
        </is>
      </c>
      <c r="D6" s="20" t="inlineStr">
        <is>
          <t>No</t>
        </is>
      </c>
      <c r="E6" s="20" t="inlineStr">
        <is>
          <t>Yes</t>
        </is>
      </c>
      <c r="F6" s="20" t="inlineStr">
        <is>
          <t>Yes</t>
        </is>
      </c>
      <c r="G6" s="20" t="inlineStr">
        <is>
          <t>Yes</t>
        </is>
      </c>
      <c r="H6" s="20" t="inlineStr">
        <is>
          <t>Pro+</t>
        </is>
      </c>
      <c r="I6" s="20" t="inlineStr">
        <is>
          <t>Pass</t>
        </is>
      </c>
      <c r="J6" s="20" t="inlineStr"/>
    </row>
    <row r="7">
      <c r="A7" s="19" t="inlineStr">
        <is>
          <t>Calendar sync</t>
        </is>
      </c>
      <c r="B7" s="19" t="inlineStr">
        <is>
          <t>Interviews &amp; Calendar</t>
        </is>
      </c>
      <c r="C7" s="19" t="inlineStr">
        <is>
          <t>No</t>
        </is>
      </c>
      <c r="D7" s="19" t="inlineStr">
        <is>
          <t>No</t>
        </is>
      </c>
      <c r="E7" s="19" t="inlineStr">
        <is>
          <t>Yes</t>
        </is>
      </c>
      <c r="F7" s="19" t="inlineStr">
        <is>
          <t>Yes</t>
        </is>
      </c>
      <c r="G7" s="19" t="inlineStr">
        <is>
          <t>Yes</t>
        </is>
      </c>
      <c r="H7" s="19" t="inlineStr">
        <is>
          <t>Pro+</t>
        </is>
      </c>
      <c r="I7" s="19" t="inlineStr">
        <is>
          <t>Pass</t>
        </is>
      </c>
      <c r="J7" s="19" t="inlineStr"/>
    </row>
    <row r="8">
      <c r="A8" s="20" t="inlineStr">
        <is>
          <t>Priority models</t>
        </is>
      </c>
      <c r="B8" s="20" t="inlineStr">
        <is>
          <t>Billing &amp; Credits</t>
        </is>
      </c>
      <c r="C8" s="20" t="inlineStr">
        <is>
          <t>No</t>
        </is>
      </c>
      <c r="D8" s="20" t="inlineStr">
        <is>
          <t>No</t>
        </is>
      </c>
      <c r="E8" s="20" t="inlineStr">
        <is>
          <t>No</t>
        </is>
      </c>
      <c r="F8" s="20" t="inlineStr">
        <is>
          <t>Yes</t>
        </is>
      </c>
      <c r="G8" s="20" t="inlineStr">
        <is>
          <t>Yes</t>
        </is>
      </c>
      <c r="H8" s="20" t="inlineStr">
        <is>
          <t>Max</t>
        </is>
      </c>
      <c r="I8" s="20" t="inlineStr">
        <is>
          <t>Pass</t>
        </is>
      </c>
      <c r="J8" s="20" t="inlineStr"/>
    </row>
    <row r="9">
      <c r="A9" s="19" t="inlineStr">
        <is>
          <t>Admin revenue</t>
        </is>
      </c>
      <c r="B9" s="19" t="inlineStr">
        <is>
          <t>Admin Portal</t>
        </is>
      </c>
      <c r="C9" s="19" t="inlineStr">
        <is>
          <t>No</t>
        </is>
      </c>
      <c r="D9" s="19" t="inlineStr">
        <is>
          <t>No</t>
        </is>
      </c>
      <c r="E9" s="19" t="inlineStr">
        <is>
          <t>No</t>
        </is>
      </c>
      <c r="F9" s="19" t="inlineStr">
        <is>
          <t>No</t>
        </is>
      </c>
      <c r="G9" s="19" t="inlineStr">
        <is>
          <t>Yes</t>
        </is>
      </c>
      <c r="H9" s="19" t="inlineStr">
        <is>
          <t>admin role</t>
        </is>
      </c>
      <c r="I9" s="19" t="inlineStr">
        <is>
          <t>Pass</t>
        </is>
      </c>
      <c r="J9" s="19" t="inlineStr">
        <is>
          <t>requireAdmin</t>
        </is>
      </c>
    </row>
    <row r="10">
      <c r="A10" s="20" t="inlineStr">
        <is>
          <t>Promo CRUD</t>
        </is>
      </c>
      <c r="B10" s="20" t="inlineStr">
        <is>
          <t>Admin Portal</t>
        </is>
      </c>
      <c r="C10" s="20" t="inlineStr">
        <is>
          <t>No</t>
        </is>
      </c>
      <c r="D10" s="20" t="inlineStr">
        <is>
          <t>No</t>
        </is>
      </c>
      <c r="E10" s="20" t="inlineStr">
        <is>
          <t>No</t>
        </is>
      </c>
      <c r="F10" s="20" t="inlineStr">
        <is>
          <t>No</t>
        </is>
      </c>
      <c r="G10" s="20" t="inlineStr">
        <is>
          <t>Yes</t>
        </is>
      </c>
      <c r="H10" s="20" t="inlineStr">
        <is>
          <t>admin</t>
        </is>
      </c>
      <c r="I10" s="20" t="inlineStr">
        <is>
          <t>Pass</t>
        </is>
      </c>
      <c r="J10" s="20" t="inlineStr"/>
    </row>
    <row r="11">
      <c r="A11" s="19" t="inlineStr">
        <is>
          <t>View pricing</t>
        </is>
      </c>
      <c r="B11" s="19" t="inlineStr">
        <is>
          <t>Marketing Site</t>
        </is>
      </c>
      <c r="C11" s="19" t="inlineStr">
        <is>
          <t>Yes</t>
        </is>
      </c>
      <c r="D11" s="19" t="inlineStr">
        <is>
          <t>Yes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Yes</t>
        </is>
      </c>
      <c r="H11" s="19" t="inlineStr">
        <is>
          <t>Public</t>
        </is>
      </c>
      <c r="I11" s="19" t="inlineStr">
        <is>
          <t>Pass</t>
        </is>
      </c>
      <c r="J11" s="19" t="inlineStr"/>
    </row>
  </sheetData>
  <autoFilter ref="A2:J11"/>
  <mergeCells count="1">
    <mergeCell ref="A1:H1"/>
  </mergeCells>
  <conditionalFormatting sqref="I3:I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7">
    <dataValidation sqref="C3:C5000" showDropDown="0" showInputMessage="0" showErrorMessage="0" allowBlank="1" errorTitle="Invalid" error="Pick a value from the list" type="list">
      <formula1>Lists!$I$2:$I$5</formula1>
    </dataValidation>
    <dataValidation sqref="D3:D5000" showDropDown="0" showInputMessage="0" showErrorMessage="0" allowBlank="1" errorTitle="Invalid" error="Pick a value from the list" type="list">
      <formula1>Lists!$I$2:$I$5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  <dataValidation sqref="F3:F5000" showDropDown="0" showInputMessage="0" showErrorMessage="0" allowBlank="1" errorTitle="Invalid" error="Pick a value from the list" type="list">
      <formula1>Lists!$I$2:$I$5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B3:B5000" showDropDown="0" showInputMessage="0" showErrorMessage="0" allowBlank="1" errorTitle="Invalid" error="Pick a value from the list" type="list">
      <formula1>Lists!$Z$2:$Z$21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6" customWidth="1" min="2" max="2"/>
    <col width="25" customWidth="1" min="3" max="3"/>
    <col width="13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  <col width="16" customWidth="1" min="11" max="11"/>
  </cols>
  <sheetData>
    <row r="1">
      <c r="A1" s="1" t="inlineStr">
        <is>
          <t>Regression Testing</t>
        </is>
      </c>
    </row>
    <row r="2">
      <c r="A2" s="18" t="inlineStr">
        <is>
          <t>Regression ID</t>
        </is>
      </c>
      <c r="B2" s="18" t="inlineStr">
        <is>
          <t>Module</t>
        </is>
      </c>
      <c r="C2" s="18" t="inlineStr">
        <is>
          <t>Feature</t>
        </is>
      </c>
      <c r="D2" s="18" t="inlineStr">
        <is>
          <t>QA Owner</t>
        </is>
      </c>
      <c r="E2" s="18" t="inlineStr">
        <is>
          <t>Executed</t>
        </is>
      </c>
      <c r="F2" s="18" t="inlineStr">
        <is>
          <t>Pass</t>
        </is>
      </c>
      <c r="G2" s="18" t="inlineStr">
        <is>
          <t>Fail</t>
        </is>
      </c>
      <c r="H2" s="18" t="inlineStr">
        <is>
          <t>Blocked</t>
        </is>
      </c>
      <c r="I2" s="18" t="inlineStr">
        <is>
          <t>Est Hours</t>
        </is>
      </c>
      <c r="J2" s="18" t="inlineStr">
        <is>
          <t>Actual Hours</t>
        </is>
      </c>
      <c r="K2" s="18" t="inlineStr">
        <is>
          <t>Remarks</t>
        </is>
      </c>
    </row>
    <row r="3">
      <c r="A3" s="19" t="inlineStr">
        <is>
          <t>REG-01</t>
        </is>
      </c>
      <c r="B3" s="19" t="inlineStr">
        <is>
          <t>Auth &amp; Onboarding</t>
        </is>
      </c>
      <c r="C3" s="19" t="inlineStr">
        <is>
          <t>Login/OAuth/MFA</t>
        </is>
      </c>
      <c r="D3" s="19" t="inlineStr">
        <is>
          <t>Asha Sharma</t>
        </is>
      </c>
      <c r="E3" s="19" t="inlineStr">
        <is>
          <t>Yes</t>
        </is>
      </c>
      <c r="F3" s="19" t="n">
        <v>4</v>
      </c>
      <c r="G3" s="19" t="n">
        <v>0</v>
      </c>
      <c r="H3" s="19" t="n">
        <v>0</v>
      </c>
      <c r="I3" s="19" t="n">
        <v>4</v>
      </c>
      <c r="J3" s="19" t="n">
        <v>3.5</v>
      </c>
      <c r="K3" s="19" t="inlineStr">
        <is>
          <t>Smoke green</t>
        </is>
      </c>
    </row>
    <row r="4">
      <c r="A4" s="20" t="inlineStr">
        <is>
          <t>REG-02</t>
        </is>
      </c>
      <c r="B4" s="20" t="inlineStr">
        <is>
          <t>Live Practice Coach</t>
        </is>
      </c>
      <c r="C4" s="20" t="inlineStr">
        <is>
          <t>STT + answer + overlay</t>
        </is>
      </c>
      <c r="D4" s="20" t="inlineStr">
        <is>
          <t>Priya Nair</t>
        </is>
      </c>
      <c r="E4" s="20" t="inlineStr">
        <is>
          <t>Yes</t>
        </is>
      </c>
      <c r="F4" s="20" t="n">
        <v>4</v>
      </c>
      <c r="G4" s="20" t="n">
        <v>0</v>
      </c>
      <c r="H4" s="20" t="n">
        <v>0</v>
      </c>
      <c r="I4" s="20" t="n">
        <v>6</v>
      </c>
      <c r="J4" s="20" t="n">
        <v>5</v>
      </c>
      <c r="K4" s="20" t="inlineStr">
        <is>
          <t>BUG-001 closed</t>
        </is>
      </c>
    </row>
    <row r="5">
      <c r="A5" s="19" t="inlineStr">
        <is>
          <t>REG-03</t>
        </is>
      </c>
      <c r="B5" s="19" t="inlineStr">
        <is>
          <t>Billing &amp; Credits</t>
        </is>
      </c>
      <c r="C5" s="19" t="inlineStr">
        <is>
          <t>Checkout + webhooks</t>
        </is>
      </c>
      <c r="D5" s="19" t="inlineStr">
        <is>
          <t>Asha Sharma</t>
        </is>
      </c>
      <c r="E5" s="19" t="inlineStr">
        <is>
          <t>Yes</t>
        </is>
      </c>
      <c r="F5" s="19" t="n">
        <v>5</v>
      </c>
      <c r="G5" s="19" t="n">
        <v>0</v>
      </c>
      <c r="H5" s="19" t="n">
        <v>0</v>
      </c>
      <c r="I5" s="19" t="n">
        <v>5</v>
      </c>
      <c r="J5" s="19" t="n">
        <v>4.5</v>
      </c>
      <c r="K5" s="19" t="inlineStr">
        <is>
          <t>Money path</t>
        </is>
      </c>
    </row>
    <row r="6">
      <c r="A6" s="20" t="inlineStr">
        <is>
          <t>REG-04</t>
        </is>
      </c>
      <c r="B6" s="20" t="inlineStr">
        <is>
          <t>Gov Exam Mock Tests</t>
        </is>
      </c>
      <c r="C6" s="20" t="inlineStr">
        <is>
          <t>Create/submit/results</t>
        </is>
      </c>
      <c r="D6" s="20" t="inlineStr">
        <is>
          <t>Rohan Mehta</t>
        </is>
      </c>
      <c r="E6" s="20" t="inlineStr">
        <is>
          <t>Yes</t>
        </is>
      </c>
      <c r="F6" s="20" t="n">
        <v>3</v>
      </c>
      <c r="G6" s="20" t="n">
        <v>0</v>
      </c>
      <c r="H6" s="20" t="n">
        <v>1</v>
      </c>
      <c r="I6" s="20" t="n">
        <v>4</v>
      </c>
      <c r="J6" s="20" t="n">
        <v>3</v>
      </c>
      <c r="K6" s="20" t="inlineStr">
        <is>
          <t>PDF blocked</t>
        </is>
      </c>
    </row>
    <row r="7">
      <c r="A7" s="19" t="inlineStr">
        <is>
          <t>REG-05</t>
        </is>
      </c>
      <c r="B7" s="19" t="inlineStr">
        <is>
          <t>Admin Portal</t>
        </is>
      </c>
      <c r="C7" s="19" t="inlineStr">
        <is>
          <t>Users/revenue/questions</t>
        </is>
      </c>
      <c r="D7" s="19" t="inlineStr">
        <is>
          <t>Rohan Mehta</t>
        </is>
      </c>
      <c r="E7" s="19" t="inlineStr">
        <is>
          <t>Yes</t>
        </is>
      </c>
      <c r="F7" s="19" t="n">
        <v>4</v>
      </c>
      <c r="G7" s="19" t="n">
        <v>0</v>
      </c>
      <c r="H7" s="19" t="n">
        <v>0</v>
      </c>
      <c r="I7" s="19" t="n">
        <v>4</v>
      </c>
      <c r="J7" s="19" t="n">
        <v>3.5</v>
      </c>
      <c r="K7" s="19" t="inlineStr"/>
    </row>
    <row r="8">
      <c r="A8" s="20" t="inlineStr">
        <is>
          <t>REG-06</t>
        </is>
      </c>
      <c r="B8" s="20" t="inlineStr">
        <is>
          <t>Electron Desktop Overlay</t>
        </is>
      </c>
      <c r="C8" s="20" t="inlineStr">
        <is>
          <t>Boot + hotkeys</t>
        </is>
      </c>
      <c r="D8" s="20" t="inlineStr">
        <is>
          <t>Dev Patel</t>
        </is>
      </c>
      <c r="E8" s="20" t="inlineStr">
        <is>
          <t>Partial</t>
        </is>
      </c>
      <c r="F8" s="20" t="n">
        <v>2</v>
      </c>
      <c r="G8" s="20" t="n">
        <v>0</v>
      </c>
      <c r="H8" s="20" t="n">
        <v>1</v>
      </c>
      <c r="I8" s="20" t="n">
        <v>3</v>
      </c>
      <c r="J8" s="20" t="n">
        <v>1.5</v>
      </c>
      <c r="K8" s="20" t="inlineStr">
        <is>
          <t>Unsigned</t>
        </is>
      </c>
    </row>
    <row r="9">
      <c r="A9" s="19" t="inlineStr">
        <is>
          <t>TOTAL</t>
        </is>
      </c>
      <c r="B9" s="19" t="n"/>
      <c r="C9" s="19" t="n"/>
      <c r="D9" s="19" t="n"/>
      <c r="E9" s="19" t="n"/>
      <c r="F9" s="21">
        <f>SUM(F3:F8)</f>
        <v/>
      </c>
      <c r="G9" s="21">
        <f>SUM(G3:G8)</f>
        <v/>
      </c>
      <c r="H9" s="21">
        <f>SUM(H3:H8)</f>
        <v/>
      </c>
      <c r="I9" s="21">
        <f>SUM(I3:I8)</f>
        <v/>
      </c>
      <c r="J9" s="21">
        <f>SUM(J3:J8)</f>
        <v/>
      </c>
      <c r="K9" s="19" t="n"/>
    </row>
  </sheetData>
  <autoFilter ref="A2:K9"/>
  <mergeCells count="1">
    <mergeCell ref="A1:H1"/>
  </mergeCells>
  <dataValidations count="3">
    <dataValidation sqref="B3:B5000" showDropDown="0" showInputMessage="0" showErrorMessage="0" allowBlank="1" errorTitle="Invalid" error="Pick a value from the list" type="list">
      <formula1>Lists!$Z$2:$Z$21</formula1>
    </dataValidation>
    <dataValidation sqref="D3:D5000" showDropDown="0" showInputMessage="0" showErrorMessage="0" allowBlank="1" errorTitle="Invalid" error="Pick a value from the list" type="list">
      <formula1>Lists!$AC$2:$AC$6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6" customWidth="1" min="4" max="4"/>
    <col width="17" customWidth="1" min="5" max="5"/>
    <col width="20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8" customWidth="1" min="12" max="12"/>
    <col width="12" customWidth="1" min="13" max="13"/>
    <col width="12" customWidth="1" min="14" max="14"/>
    <col width="15" customWidth="1" min="15" max="15"/>
    <col width="36" customWidth="1" min="16" max="16"/>
    <col width="12" customWidth="1" min="17" max="17"/>
    <col width="33" customWidth="1" min="18" max="18"/>
    <col width="36" customWidth="1" min="19" max="19"/>
    <col width="12" customWidth="1" min="20" max="20"/>
  </cols>
  <sheetData>
    <row r="1">
      <c r="A1" s="1" t="inlineStr">
        <is>
          <t>Production Readiness Checklist</t>
        </is>
      </c>
    </row>
    <row r="2">
      <c r="A2" s="18" t="inlineStr">
        <is>
          <t>Module</t>
        </is>
      </c>
      <c r="B2" s="18" t="inlineStr">
        <is>
          <t>Feature Complete</t>
        </is>
      </c>
      <c r="C2" s="18" t="inlineStr">
        <is>
          <t>API Complete</t>
        </is>
      </c>
      <c r="D2" s="18" t="inlineStr">
        <is>
          <t>Database Ready</t>
        </is>
      </c>
      <c r="E2" s="18" t="inlineStr">
        <is>
          <t>Security Passed</t>
        </is>
      </c>
      <c r="F2" s="18" t="inlineStr">
        <is>
          <t>Performance Passed</t>
        </is>
      </c>
      <c r="G2" s="18" t="inlineStr">
        <is>
          <t>Responsive</t>
        </is>
      </c>
      <c r="H2" s="18" t="inlineStr">
        <is>
          <t>Accessibility</t>
        </is>
      </c>
      <c r="I2" s="18" t="inlineStr">
        <is>
          <t>SEO</t>
        </is>
      </c>
      <c r="J2" s="18" t="inlineStr">
        <is>
          <t>Monitoring</t>
        </is>
      </c>
      <c r="K2" s="18" t="inlineStr">
        <is>
          <t>Logging</t>
        </is>
      </c>
      <c r="L2" s="18" t="inlineStr">
        <is>
          <t>Deployment Ready</t>
        </is>
      </c>
      <c r="M2" s="18" t="inlineStr">
        <is>
          <t>Backup</t>
        </is>
      </c>
      <c r="N2" s="18" t="inlineStr">
        <is>
          <t>Recovery</t>
        </is>
      </c>
      <c r="O2" s="18" t="inlineStr">
        <is>
          <t>Documentation</t>
        </is>
      </c>
      <c r="P2" s="18" t="inlineStr">
        <is>
          <t>Ready Count</t>
        </is>
      </c>
      <c r="Q2" s="18" t="inlineStr">
        <is>
          <t>Total</t>
        </is>
      </c>
      <c r="R2" s="18" t="inlineStr">
        <is>
          <t>Readiness %</t>
        </is>
      </c>
      <c r="S2" s="18" t="inlineStr">
        <is>
          <t>Status</t>
        </is>
      </c>
      <c r="T2" s="18" t="inlineStr">
        <is>
          <t>Remarks</t>
        </is>
      </c>
    </row>
    <row r="3">
      <c r="A3" s="19" t="inlineStr">
        <is>
          <t>Auth &amp; Onboarding</t>
        </is>
      </c>
      <c r="B3" s="19" t="inlineStr">
        <is>
          <t>Yes</t>
        </is>
      </c>
      <c r="C3" s="19" t="inlineStr">
        <is>
          <t>Yes</t>
        </is>
      </c>
      <c r="D3" s="19" t="inlineStr">
        <is>
          <t>Yes</t>
        </is>
      </c>
      <c r="E3" s="19" t="inlineStr">
        <is>
          <t>Yes</t>
        </is>
      </c>
      <c r="F3" s="19" t="inlineStr">
        <is>
          <t>Yes</t>
        </is>
      </c>
      <c r="G3" s="19" t="inlineStr">
        <is>
          <t>Yes</t>
        </is>
      </c>
      <c r="H3" s="19" t="inlineStr">
        <is>
          <t>Yes</t>
        </is>
      </c>
      <c r="I3" s="19" t="inlineStr">
        <is>
          <t>Partial</t>
        </is>
      </c>
      <c r="J3" s="19" t="inlineStr">
        <is>
          <t>Yes</t>
        </is>
      </c>
      <c r="K3" s="19" t="inlineStr">
        <is>
          <t>Yes</t>
        </is>
      </c>
      <c r="L3" s="19" t="inlineStr">
        <is>
          <t>Yes</t>
        </is>
      </c>
      <c r="M3" s="19" t="inlineStr">
        <is>
          <t>Yes</t>
        </is>
      </c>
      <c r="N3" s="19" t="inlineStr">
        <is>
          <t>Yes</t>
        </is>
      </c>
      <c r="O3" s="19" t="inlineStr">
        <is>
          <t>Yes</t>
        </is>
      </c>
      <c r="P3" s="19">
        <f>IFERROR(COUNTIF(B3:O3,"Yes"),0)</f>
        <v/>
      </c>
      <c r="Q3" s="19" t="n">
        <v>14</v>
      </c>
      <c r="R3" s="25">
        <f>IFERROR(IF(Q3=0,0,P3/Q3),0)</f>
        <v/>
      </c>
      <c r="S3" s="19">
        <f>IFERROR(IF(R3&gt;=0.9,"Ready",IF(R3&gt;=0.7,"Conditional","Not Ready")),"Not Ready")</f>
        <v/>
      </c>
      <c r="T3" s="19" t="inlineStr"/>
    </row>
    <row r="4">
      <c r="A4" s="20" t="inlineStr">
        <is>
          <t>Live Practice Coach</t>
        </is>
      </c>
      <c r="B4" s="20" t="inlineStr">
        <is>
          <t>Yes</t>
        </is>
      </c>
      <c r="C4" s="20" t="inlineStr">
        <is>
          <t>Yes</t>
        </is>
      </c>
      <c r="D4" s="20" t="inlineStr">
        <is>
          <t>Yes</t>
        </is>
      </c>
      <c r="E4" s="20" t="inlineStr">
        <is>
          <t>Yes</t>
        </is>
      </c>
      <c r="F4" s="20" t="inlineStr">
        <is>
          <t>Yes</t>
        </is>
      </c>
      <c r="G4" s="20" t="inlineStr">
        <is>
          <t>Partial</t>
        </is>
      </c>
      <c r="H4" s="20" t="inlineStr">
        <is>
          <t>Partial</t>
        </is>
      </c>
      <c r="I4" s="20" t="inlineStr">
        <is>
          <t>N/A</t>
        </is>
      </c>
      <c r="J4" s="20" t="inlineStr">
        <is>
          <t>Yes</t>
        </is>
      </c>
      <c r="K4" s="20" t="inlineStr">
        <is>
          <t>Yes</t>
        </is>
      </c>
      <c r="L4" s="20" t="inlineStr">
        <is>
          <t>Yes</t>
        </is>
      </c>
      <c r="M4" s="20" t="inlineStr">
        <is>
          <t>Yes</t>
        </is>
      </c>
      <c r="N4" s="20" t="inlineStr">
        <is>
          <t>Partial</t>
        </is>
      </c>
      <c r="O4" s="20" t="inlineStr">
        <is>
          <t>Yes</t>
        </is>
      </c>
      <c r="P4" s="20">
        <f>IFERROR(COUNTIF(B4:O4,"Yes"),0)</f>
        <v/>
      </c>
      <c r="Q4" s="20" t="n">
        <v>14</v>
      </c>
      <c r="R4" s="26">
        <f>IFERROR(IF(Q4=0,0,P4/Q4),0)</f>
        <v/>
      </c>
      <c r="S4" s="20">
        <f>IFERROR(IF(R4&gt;=0.9,"Ready",IF(R4&gt;=0.7,"Conditional","Not Ready")),"Not Ready")</f>
        <v/>
      </c>
      <c r="T4" s="20" t="inlineStr"/>
    </row>
    <row r="5">
      <c r="A5" s="19" t="inlineStr">
        <is>
          <t>Billing &amp; Credits</t>
        </is>
      </c>
      <c r="B5" s="19" t="inlineStr">
        <is>
          <t>Yes</t>
        </is>
      </c>
      <c r="C5" s="19" t="inlineStr">
        <is>
          <t>Yes</t>
        </is>
      </c>
      <c r="D5" s="19" t="inlineStr">
        <is>
          <t>Yes</t>
        </is>
      </c>
      <c r="E5" s="19" t="inlineStr">
        <is>
          <t>Yes</t>
        </is>
      </c>
      <c r="F5" s="19" t="inlineStr">
        <is>
          <t>Yes</t>
        </is>
      </c>
      <c r="G5" s="19" t="inlineStr">
        <is>
          <t>Yes</t>
        </is>
      </c>
      <c r="H5" s="19" t="inlineStr">
        <is>
          <t>Partial</t>
        </is>
      </c>
      <c r="I5" s="19" t="inlineStr">
        <is>
          <t>N/A</t>
        </is>
      </c>
      <c r="J5" s="19" t="inlineStr">
        <is>
          <t>Partial</t>
        </is>
      </c>
      <c r="K5" s="19" t="inlineStr">
        <is>
          <t>Yes</t>
        </is>
      </c>
      <c r="L5" s="19" t="inlineStr">
        <is>
          <t>Yes</t>
        </is>
      </c>
      <c r="M5" s="19" t="inlineStr">
        <is>
          <t>Yes</t>
        </is>
      </c>
      <c r="N5" s="19" t="inlineStr">
        <is>
          <t>Partial</t>
        </is>
      </c>
      <c r="O5" s="19" t="inlineStr">
        <is>
          <t>Yes</t>
        </is>
      </c>
      <c r="P5" s="19">
        <f>IFERROR(COUNTIF(B5:O5,"Yes"),0)</f>
        <v/>
      </c>
      <c r="Q5" s="19" t="n">
        <v>14</v>
      </c>
      <c r="R5" s="25">
        <f>IFERROR(IF(Q5=0,0,P5/Q5),0)</f>
        <v/>
      </c>
      <c r="S5" s="19">
        <f>IFERROR(IF(R5&gt;=0.9,"Ready",IF(R5&gt;=0.7,"Conditional","Not Ready")),"Not Ready")</f>
        <v/>
      </c>
      <c r="T5" s="19" t="inlineStr"/>
    </row>
    <row r="6">
      <c r="A6" s="20" t="inlineStr">
        <is>
          <t>Gov Exam Mock Tests</t>
        </is>
      </c>
      <c r="B6" s="20" t="inlineStr">
        <is>
          <t>Partial</t>
        </is>
      </c>
      <c r="C6" s="20" t="inlineStr">
        <is>
          <t>Yes</t>
        </is>
      </c>
      <c r="D6" s="20" t="inlineStr">
        <is>
          <t>Partial</t>
        </is>
      </c>
      <c r="E6" s="20" t="inlineStr">
        <is>
          <t>Yes</t>
        </is>
      </c>
      <c r="F6" s="20" t="inlineStr">
        <is>
          <t>Yes</t>
        </is>
      </c>
      <c r="G6" s="20" t="inlineStr">
        <is>
          <t>Yes</t>
        </is>
      </c>
      <c r="H6" s="20" t="inlineStr">
        <is>
          <t>Partial</t>
        </is>
      </c>
      <c r="I6" s="20" t="inlineStr">
        <is>
          <t>Partial</t>
        </is>
      </c>
      <c r="J6" s="20" t="inlineStr">
        <is>
          <t>Partial</t>
        </is>
      </c>
      <c r="K6" s="20" t="inlineStr">
        <is>
          <t>Yes</t>
        </is>
      </c>
      <c r="L6" s="20" t="inlineStr">
        <is>
          <t>Partial</t>
        </is>
      </c>
      <c r="M6" s="20" t="inlineStr">
        <is>
          <t>Yes</t>
        </is>
      </c>
      <c r="N6" s="20" t="inlineStr">
        <is>
          <t>Partial</t>
        </is>
      </c>
      <c r="O6" s="20" t="inlineStr">
        <is>
          <t>Partial</t>
        </is>
      </c>
      <c r="P6" s="20">
        <f>IFERROR(COUNTIF(B6:O6,"Yes"),0)</f>
        <v/>
      </c>
      <c r="Q6" s="20" t="n">
        <v>14</v>
      </c>
      <c r="R6" s="26">
        <f>IFERROR(IF(Q6=0,0,P6/Q6),0)</f>
        <v/>
      </c>
      <c r="S6" s="20">
        <f>IFERROR(IF(R6&gt;=0.9,"Ready",IF(R6&gt;=0.7,"Conditional","Not Ready")),"Not Ready")</f>
        <v/>
      </c>
      <c r="T6" s="20" t="inlineStr"/>
    </row>
    <row r="7">
      <c r="A7" s="19" t="inlineStr">
        <is>
          <t>Admin Portal</t>
        </is>
      </c>
      <c r="B7" s="19" t="inlineStr">
        <is>
          <t>Partial</t>
        </is>
      </c>
      <c r="C7" s="19" t="inlineStr">
        <is>
          <t>Yes</t>
        </is>
      </c>
      <c r="D7" s="19" t="inlineStr">
        <is>
          <t>Yes</t>
        </is>
      </c>
      <c r="E7" s="19" t="inlineStr">
        <is>
          <t>Yes</t>
        </is>
      </c>
      <c r="F7" s="19" t="inlineStr">
        <is>
          <t>Partial</t>
        </is>
      </c>
      <c r="G7" s="19" t="inlineStr">
        <is>
          <t>Partial</t>
        </is>
      </c>
      <c r="H7" s="19" t="inlineStr">
        <is>
          <t>Partial</t>
        </is>
      </c>
      <c r="I7" s="19" t="inlineStr">
        <is>
          <t>N/A</t>
        </is>
      </c>
      <c r="J7" s="19" t="inlineStr">
        <is>
          <t>Partial</t>
        </is>
      </c>
      <c r="K7" s="19" t="inlineStr">
        <is>
          <t>Yes</t>
        </is>
      </c>
      <c r="L7" s="19" t="inlineStr">
        <is>
          <t>Yes</t>
        </is>
      </c>
      <c r="M7" s="19" t="inlineStr">
        <is>
          <t>Yes</t>
        </is>
      </c>
      <c r="N7" s="19" t="inlineStr">
        <is>
          <t>Partial</t>
        </is>
      </c>
      <c r="O7" s="19" t="inlineStr">
        <is>
          <t>Partial</t>
        </is>
      </c>
      <c r="P7" s="19">
        <f>IFERROR(COUNTIF(B7:O7,"Yes"),0)</f>
        <v/>
      </c>
      <c r="Q7" s="19" t="n">
        <v>14</v>
      </c>
      <c r="R7" s="25">
        <f>IFERROR(IF(Q7=0,0,P7/Q7),0)</f>
        <v/>
      </c>
      <c r="S7" s="19">
        <f>IFERROR(IF(R7&gt;=0.9,"Ready",IF(R7&gt;=0.7,"Conditional","Not Ready")),"Not Ready")</f>
        <v/>
      </c>
      <c r="T7" s="19" t="inlineStr"/>
    </row>
    <row r="8">
      <c r="A8" s="20" t="inlineStr">
        <is>
          <t>Electron Desktop Overlay</t>
        </is>
      </c>
      <c r="B8" s="20" t="inlineStr">
        <is>
          <t>Partial</t>
        </is>
      </c>
      <c r="C8" s="20" t="inlineStr">
        <is>
          <t>N/A</t>
        </is>
      </c>
      <c r="D8" s="20" t="inlineStr">
        <is>
          <t>N/A</t>
        </is>
      </c>
      <c r="E8" s="20" t="inlineStr">
        <is>
          <t>Partial</t>
        </is>
      </c>
      <c r="F8" s="20" t="inlineStr">
        <is>
          <t>Yes</t>
        </is>
      </c>
      <c r="G8" s="20" t="inlineStr">
        <is>
          <t>N/A</t>
        </is>
      </c>
      <c r="H8" s="20" t="inlineStr">
        <is>
          <t>Partial</t>
        </is>
      </c>
      <c r="I8" s="20" t="inlineStr">
        <is>
          <t>N/A</t>
        </is>
      </c>
      <c r="J8" s="20" t="inlineStr">
        <is>
          <t>Partial</t>
        </is>
      </c>
      <c r="K8" s="20" t="inlineStr">
        <is>
          <t>Partial</t>
        </is>
      </c>
      <c r="L8" s="20" t="inlineStr">
        <is>
          <t>Partial</t>
        </is>
      </c>
      <c r="M8" s="20" t="inlineStr">
        <is>
          <t>Yes</t>
        </is>
      </c>
      <c r="N8" s="20" t="inlineStr">
        <is>
          <t>Partial</t>
        </is>
      </c>
      <c r="O8" s="20" t="inlineStr">
        <is>
          <t>Partial</t>
        </is>
      </c>
      <c r="P8" s="20">
        <f>IFERROR(COUNTIF(B8:O8,"Yes"),0)</f>
        <v/>
      </c>
      <c r="Q8" s="20" t="n">
        <v>14</v>
      </c>
      <c r="R8" s="26">
        <f>IFERROR(IF(Q8=0,0,P8/Q8),0)</f>
        <v/>
      </c>
      <c r="S8" s="20">
        <f>IFERROR(IF(R8&gt;=0.9,"Ready",IF(R8&gt;=0.7,"Conditional","Not Ready")),"Not Ready")</f>
        <v/>
      </c>
      <c r="T8" s="20" t="inlineStr"/>
    </row>
    <row r="9">
      <c r="A9" s="19" t="inlineStr">
        <is>
          <t>Marketing Site</t>
        </is>
      </c>
      <c r="B9" s="19" t="inlineStr">
        <is>
          <t>Yes</t>
        </is>
      </c>
      <c r="C9" s="19" t="inlineStr">
        <is>
          <t>N/A</t>
        </is>
      </c>
      <c r="D9" s="19" t="inlineStr">
        <is>
          <t>Yes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Yes</t>
        </is>
      </c>
      <c r="H9" s="19" t="inlineStr">
        <is>
          <t>Partial</t>
        </is>
      </c>
      <c r="I9" s="19" t="inlineStr">
        <is>
          <t>Yes</t>
        </is>
      </c>
      <c r="J9" s="19" t="inlineStr">
        <is>
          <t>Yes</t>
        </is>
      </c>
      <c r="K9" s="19" t="inlineStr">
        <is>
          <t>Yes</t>
        </is>
      </c>
      <c r="L9" s="19" t="inlineStr">
        <is>
          <t>Yes</t>
        </is>
      </c>
      <c r="M9" s="19" t="inlineStr">
        <is>
          <t>Yes</t>
        </is>
      </c>
      <c r="N9" s="19" t="inlineStr">
        <is>
          <t>Yes</t>
        </is>
      </c>
      <c r="O9" s="19" t="inlineStr">
        <is>
          <t>Yes</t>
        </is>
      </c>
      <c r="P9" s="19">
        <f>IFERROR(COUNTIF(B9:O9,"Yes"),0)</f>
        <v/>
      </c>
      <c r="Q9" s="19" t="n">
        <v>14</v>
      </c>
      <c r="R9" s="25">
        <f>IFERROR(IF(Q9=0,0,P9/Q9),0)</f>
        <v/>
      </c>
      <c r="S9" s="19">
        <f>IFERROR(IF(R9&gt;=0.9,"Ready",IF(R9&gt;=0.7,"Conditional","Not Ready")),"Not Ready")</f>
        <v/>
      </c>
      <c r="T9" s="19" t="inlineStr"/>
    </row>
    <row r="10">
      <c r="A10" s="20" t="inlineStr">
        <is>
          <t>Security &amp; Platform</t>
        </is>
      </c>
      <c r="B10" s="20" t="inlineStr">
        <is>
          <t>Partial</t>
        </is>
      </c>
      <c r="C10" s="20" t="inlineStr">
        <is>
          <t>Yes</t>
        </is>
      </c>
      <c r="D10" s="20" t="inlineStr">
        <is>
          <t>Partial</t>
        </is>
      </c>
      <c r="E10" s="20" t="inlineStr">
        <is>
          <t>Partial</t>
        </is>
      </c>
      <c r="F10" s="20" t="inlineStr">
        <is>
          <t>Yes</t>
        </is>
      </c>
      <c r="G10" s="20" t="inlineStr">
        <is>
          <t>N/A</t>
        </is>
      </c>
      <c r="H10" s="20" t="inlineStr">
        <is>
          <t>N/A</t>
        </is>
      </c>
      <c r="I10" s="20" t="inlineStr">
        <is>
          <t>N/A</t>
        </is>
      </c>
      <c r="J10" s="20" t="inlineStr">
        <is>
          <t>Partial</t>
        </is>
      </c>
      <c r="K10" s="20" t="inlineStr">
        <is>
          <t>Yes</t>
        </is>
      </c>
      <c r="L10" s="20" t="inlineStr">
        <is>
          <t>Yes</t>
        </is>
      </c>
      <c r="M10" s="20" t="inlineStr">
        <is>
          <t>Yes</t>
        </is>
      </c>
      <c r="N10" s="20" t="inlineStr">
        <is>
          <t>Partial</t>
        </is>
      </c>
      <c r="O10" s="20" t="inlineStr">
        <is>
          <t>Yes</t>
        </is>
      </c>
      <c r="P10" s="20">
        <f>IFERROR(COUNTIF(B10:O10,"Yes"),0)</f>
        <v/>
      </c>
      <c r="Q10" s="20" t="n">
        <v>14</v>
      </c>
      <c r="R10" s="26">
        <f>IFERROR(IF(Q10=0,0,P10/Q10),0)</f>
        <v/>
      </c>
      <c r="S10" s="20">
        <f>IFERROR(IF(R10&gt;=0.9,"Ready",IF(R10&gt;=0.7,"Conditional","Not Ready")),"Not Ready")</f>
        <v/>
      </c>
      <c r="T10" s="20" t="inlineStr"/>
    </row>
  </sheetData>
  <autoFilter ref="A2:T10"/>
  <mergeCells count="1">
    <mergeCell ref="A1:H1"/>
  </mergeCells>
  <dataValidations count="16">
    <dataValidation sqref="B3:B5000" showDropDown="0" showInputMessage="0" showErrorMessage="0" allowBlank="1" errorTitle="Invalid" error="Pick a value from the list" type="list">
      <formula1>Lists!$I$2:$I$5</formula1>
    </dataValidation>
    <dataValidation sqref="C3:C5000" showDropDown="0" showInputMessage="0" showErrorMessage="0" allowBlank="1" errorTitle="Invalid" error="Pick a value from the list" type="list">
      <formula1>Lists!$I$2:$I$5</formula1>
    </dataValidation>
    <dataValidation sqref="D3:D5000" showDropDown="0" showInputMessage="0" showErrorMessage="0" allowBlank="1" errorTitle="Invalid" error="Pick a value from the list" type="list">
      <formula1>Lists!$I$2:$I$5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  <dataValidation sqref="F3:F5000" showDropDown="0" showInputMessage="0" showErrorMessage="0" allowBlank="1" errorTitle="Invalid" error="Pick a value from the list" type="list">
      <formula1>Lists!$I$2:$I$5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H3:H5000" showDropDown="0" showInputMessage="0" showErrorMessage="0" allowBlank="1" errorTitle="Invalid" error="Pick a value from the list" type="list">
      <formula1>Lists!$I$2:$I$5</formula1>
    </dataValidation>
    <dataValidation sqref="I3:I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Lists!$I$2:$I$5</formula1>
    </dataValidation>
    <dataValidation sqref="K3:K5000" showDropDown="0" showInputMessage="0" showErrorMessage="0" allowBlank="1" errorTitle="Invalid" error="Pick a value from the list" type="list">
      <formula1>Lists!$I$2:$I$5</formula1>
    </dataValidation>
    <dataValidation sqref="L3:L5000" showDropDown="0" showInputMessage="0" showErrorMessage="0" allowBlank="1" errorTitle="Invalid" error="Pick a value from the list" type="list">
      <formula1>Lists!$I$2:$I$5</formula1>
    </dataValidation>
    <dataValidation sqref="M3:M5000" showDropDown="0" showInputMessage="0" showErrorMessage="0" allowBlank="1" errorTitle="Invalid" error="Pick a value from the list" type="list">
      <formula1>Lists!$I$2:$I$5</formula1>
    </dataValidation>
    <dataValidation sqref="N3:N5000" showDropDown="0" showInputMessage="0" showErrorMessage="0" allowBlank="1" errorTitle="Invalid" error="Pick a value from the list" type="list">
      <formula1>Lists!$I$2:$I$5</formula1>
    </dataValidation>
    <dataValidation sqref="O3:O5000" showDropDown="0" showInputMessage="0" showErrorMessage="0" allowBlank="1" errorTitle="Invalid" error="Pick a value from the list" type="list">
      <formula1>Lists!$I$2:$I$5</formula1>
    </dataValidation>
    <dataValidation sqref="A3:A5000" showDropDown="0" showInputMessage="0" showErrorMessage="0" allowBlank="1" errorTitle="Invalid" error="Pick a value from the list" type="list">
      <formula1>Lists!$Z$2:$Z$21</formula1>
    </dataValidation>
    <dataValidation sqref="S3:S5000" showDropDown="0" showInputMessage="0" showErrorMessage="0" allowBlank="1" errorTitle="Invalid" error="Pick a value from the list" type="list">
      <formula1>Lists!$P$2:$P$5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3" customWidth="1" min="3" max="3"/>
    <col width="12" customWidth="1" min="4" max="4"/>
    <col width="16" customWidth="1" min="5" max="5"/>
    <col width="15" customWidth="1" min="6" max="6"/>
    <col width="12" customWidth="1" min="7" max="7"/>
    <col width="36" customWidth="1" min="8" max="8"/>
    <col width="36" customWidth="1" min="9" max="9"/>
    <col width="12" customWidth="1" min="10" max="10"/>
    <col width="21" customWidth="1" min="11" max="11"/>
    <col width="16" customWidth="1" min="12" max="12"/>
    <col width="36" customWidth="1" min="13" max="13"/>
  </cols>
  <sheetData>
    <row r="1">
      <c r="A1" s="1" t="inlineStr">
        <is>
          <t>Release Sign-Off</t>
        </is>
      </c>
    </row>
    <row r="2">
      <c r="A2" s="18" t="inlineStr">
        <is>
          <t>Release Version</t>
        </is>
      </c>
      <c r="B2" s="18" t="inlineStr">
        <is>
          <t>Build</t>
        </is>
      </c>
      <c r="C2" s="18" t="inlineStr">
        <is>
          <t>Environment</t>
        </is>
      </c>
      <c r="D2" s="18" t="inlineStr">
        <is>
          <t>QA Lead</t>
        </is>
      </c>
      <c r="E2" s="18" t="inlineStr">
        <is>
          <t>Developer Lead</t>
        </is>
      </c>
      <c r="F2" s="18" t="inlineStr">
        <is>
          <t>Product Owner</t>
        </is>
      </c>
      <c r="G2" s="18" t="inlineStr">
        <is>
          <t>Passed</t>
        </is>
      </c>
      <c r="H2" s="18" t="inlineStr">
        <is>
          <t>Known Issues</t>
        </is>
      </c>
      <c r="I2" s="18" t="inlineStr">
        <is>
          <t>Blockers</t>
        </is>
      </c>
      <c r="J2" s="18" t="inlineStr">
        <is>
          <t>Risk Level</t>
        </is>
      </c>
      <c r="K2" s="18" t="inlineStr">
        <is>
          <t>Deployment Approval</t>
        </is>
      </c>
      <c r="L2" s="18" t="inlineStr">
        <is>
          <t>Go/No-Go</t>
        </is>
      </c>
      <c r="M2" s="18" t="inlineStr">
        <is>
          <t>Remarks</t>
        </is>
      </c>
    </row>
    <row r="3">
      <c r="A3" s="19" t="inlineStr">
        <is>
          <t>1.0.0-beta</t>
        </is>
      </c>
      <c r="B3" s="19" t="inlineStr">
        <is>
          <t>1.0.0</t>
        </is>
      </c>
      <c r="C3" s="19" t="inlineStr">
        <is>
          <t>Staging</t>
        </is>
      </c>
      <c r="D3" s="19" t="inlineStr">
        <is>
          <t>Kavya Iyer</t>
        </is>
      </c>
      <c r="E3" s="19" t="inlineStr">
        <is>
          <t>Dev Lead</t>
        </is>
      </c>
      <c r="F3" s="19" t="inlineStr">
        <is>
          <t>Product</t>
        </is>
      </c>
      <c r="G3" s="19" t="inlineStr">
        <is>
          <t>Yes</t>
        </is>
      </c>
      <c r="H3" s="19" t="inlineStr">
        <is>
          <t>BUG-OPEN-01 Razorpay one-time; unsigned Electron if no cert</t>
        </is>
      </c>
      <c r="I3" s="19" t="inlineStr">
        <is>
          <t>Calendar/Resend/signing secrets if promising those features</t>
        </is>
      </c>
      <c r="J3" s="19" t="inlineStr">
        <is>
          <t>Medium</t>
        </is>
      </c>
      <c r="K3" s="19" t="inlineStr">
        <is>
          <t>Pending</t>
        </is>
      </c>
      <c r="L3" s="19" t="inlineStr">
        <is>
          <t>Conditional Go</t>
        </is>
      </c>
      <c r="M3" s="19" t="inlineStr">
        <is>
          <t>Launch-pass code + expanded MCQ seeds; apply migration; ops secrets still Blocked</t>
        </is>
      </c>
    </row>
    <row r="4">
      <c r="A4" s="20" t="inlineStr">
        <is>
          <t>1.0.0</t>
        </is>
      </c>
      <c r="B4" s="20" t="inlineStr">
        <is>
          <t>1.0.0</t>
        </is>
      </c>
      <c r="C4" s="20" t="inlineStr">
        <is>
          <t>Production</t>
        </is>
      </c>
      <c r="D4" s="20" t="inlineStr">
        <is>
          <t>Kavya Iyer</t>
        </is>
      </c>
      <c r="E4" s="20" t="inlineStr">
        <is>
          <t>Dev Lead</t>
        </is>
      </c>
      <c r="F4" s="20" t="inlineStr">
        <is>
          <t>Product</t>
        </is>
      </c>
      <c r="G4" s="20" t="inlineStr">
        <is>
          <t>No</t>
        </is>
      </c>
      <c r="H4" s="20" t="inlineStr">
        <is>
          <t>See CHANGELOG Launch gap matrix</t>
        </is>
      </c>
      <c r="I4" s="20" t="inlineStr">
        <is>
          <t>Code signing; anon key rotation; Calendar/Resend if promised</t>
        </is>
      </c>
      <c r="J4" s="20" t="inlineStr">
        <is>
          <t>High</t>
        </is>
      </c>
      <c r="K4" s="20" t="inlineStr">
        <is>
          <t>Pending</t>
        </is>
      </c>
      <c r="L4" s="20" t="inlineStr">
        <is>
          <t>No-Go</t>
        </is>
      </c>
      <c r="M4" s="20" t="inlineStr">
        <is>
          <t>Await cert + ops secrets</t>
        </is>
      </c>
    </row>
    <row r="5">
      <c r="A5" s="19" t="inlineStr">
        <is>
          <t>1.0.1</t>
        </is>
      </c>
      <c r="B5" s="19" t="inlineStr">
        <is>
          <t>TBD</t>
        </is>
      </c>
      <c r="C5" s="19" t="inlineStr">
        <is>
          <t>Staging</t>
        </is>
      </c>
      <c r="D5" s="19" t="inlineStr">
        <is>
          <t>Kavya Iyer</t>
        </is>
      </c>
      <c r="E5" s="19" t="inlineStr">
        <is>
          <t>Dev Lead</t>
        </is>
      </c>
      <c r="F5" s="19" t="inlineStr">
        <is>
          <t>Product</t>
        </is>
      </c>
      <c r="G5" s="19" t="inlineStr">
        <is>
          <t>No</t>
        </is>
      </c>
      <c r="H5" s="19" t="inlineStr"/>
      <c r="I5" s="19" t="inlineStr"/>
      <c r="J5" s="19" t="inlineStr">
        <is>
          <t>Low</t>
        </is>
      </c>
      <c r="K5" s="19" t="inlineStr">
        <is>
          <t>Deferred</t>
        </is>
      </c>
      <c r="L5" s="19" t="inlineStr">
        <is>
          <t>No-Go</t>
        </is>
      </c>
      <c r="M5" s="19" t="inlineStr">
        <is>
          <t>Placeholder</t>
        </is>
      </c>
    </row>
  </sheetData>
  <autoFilter ref="A2:M5"/>
  <mergeCells count="1">
    <mergeCell ref="A1:H1"/>
  </mergeCells>
  <conditionalFormatting sqref="J3:J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6">
    <dataValidation sqref="A3:A5000" showDropDown="0" showInputMessage="0" showErrorMessage="0" allowBlank="1" errorTitle="Invalid" error="Pick a value from the list" type="list">
      <formula1>Lists!$X$2:$X$5</formula1>
    </dataValidation>
    <dataValidation sqref="C3:C5000" showDropDown="0" showInputMessage="0" showErrorMessage="0" allowBlank="1" errorTitle="Invalid" error="Pick a value from the list" type="list">
      <formula1>Lists!$E$2:$E$7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Lists!$L$2:$L$5</formula1>
    </dataValidation>
    <dataValidation sqref="K3:K5000" showDropDown="0" showInputMessage="0" showErrorMessage="0" allowBlank="1" errorTitle="Invalid" error="Pick a value from the list" type="list">
      <formula1>Lists!$R$2:$R$5</formula1>
    </dataValidation>
    <dataValidation sqref="L3:L5000" showDropDown="0" showInputMessage="0" showErrorMessage="0" allowBlank="1" errorTitle="Invalid" error="Pick a value from the list" type="list">
      <formula1>Lists!$Q$2:$Q$4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4" customWidth="1" min="3" max="3"/>
    <col width="12" customWidth="1" min="4" max="4"/>
    <col width="14" customWidth="1" min="5" max="5"/>
    <col width="36" customWidth="1" min="6" max="6"/>
    <col width="13" customWidth="1" min="7" max="7"/>
    <col width="14" customWidth="1" min="8" max="8"/>
  </cols>
  <sheetData>
    <row r="1">
      <c r="A1" s="1" t="inlineStr">
        <is>
          <t>Test Credentials — placeholders only</t>
        </is>
      </c>
    </row>
    <row r="2">
      <c r="A2" s="18" t="inlineStr">
        <is>
          <t>Role</t>
        </is>
      </c>
      <c r="B2" s="18" t="inlineStr">
        <is>
          <t>Email (placeholder)</t>
        </is>
      </c>
      <c r="C2" s="18" t="inlineStr">
        <is>
          <t>Password (placeholder)</t>
        </is>
      </c>
      <c r="D2" s="18" t="inlineStr">
        <is>
          <t>Plan</t>
        </is>
      </c>
      <c r="E2" s="18" t="inlineStr">
        <is>
          <t>Credits seed</t>
        </is>
      </c>
      <c r="F2" s="18" t="inlineStr">
        <is>
          <t>Notes</t>
        </is>
      </c>
      <c r="G2" s="18" t="inlineStr">
        <is>
          <t>Owner</t>
        </is>
      </c>
      <c r="H2" s="18" t="inlineStr">
        <is>
          <t>Last rotated</t>
        </is>
      </c>
    </row>
    <row r="3">
      <c r="A3" s="19" t="inlineStr">
        <is>
          <t>Free</t>
        </is>
      </c>
      <c r="B3" s="19" t="inlineStr">
        <is>
          <t>qa.free@example.com</t>
        </is>
      </c>
      <c r="C3" s="19" t="inlineStr">
        <is>
          <t>REPLACE_ME</t>
        </is>
      </c>
      <c r="D3" s="19" t="inlineStr">
        <is>
          <t>free</t>
        </is>
      </c>
      <c r="E3" s="19" t="inlineStr">
        <is>
          <t>50</t>
        </is>
      </c>
      <c r="F3" s="19" t="inlineStr">
        <is>
          <t>Replace after seeding — never commit real prod secrets</t>
        </is>
      </c>
      <c r="G3" s="19" t="inlineStr">
        <is>
          <t>Asha Sharma</t>
        </is>
      </c>
      <c r="H3" s="19" t="inlineStr"/>
    </row>
    <row r="4">
      <c r="A4" s="20" t="inlineStr">
        <is>
          <t>Pro</t>
        </is>
      </c>
      <c r="B4" s="20" t="inlineStr">
        <is>
          <t>qa.pro@example.com</t>
        </is>
      </c>
      <c r="C4" s="20" t="inlineStr">
        <is>
          <t>REPLACE_ME</t>
        </is>
      </c>
      <c r="D4" s="20" t="inlineStr">
        <is>
          <t>pro</t>
        </is>
      </c>
      <c r="E4" s="20" t="inlineStr">
        <is>
          <t>1400</t>
        </is>
      </c>
      <c r="F4" s="20" t="inlineStr">
        <is>
          <t>Stripe test checkout path</t>
        </is>
      </c>
      <c r="G4" s="20" t="inlineStr">
        <is>
          <t>Asha Sharma</t>
        </is>
      </c>
      <c r="H4" s="20" t="inlineStr"/>
    </row>
    <row r="5">
      <c r="A5" s="19" t="inlineStr">
        <is>
          <t>Max / Elite</t>
        </is>
      </c>
      <c r="B5" s="19" t="inlineStr">
        <is>
          <t>qa.max@example.com</t>
        </is>
      </c>
      <c r="C5" s="19" t="inlineStr">
        <is>
          <t>REPLACE_ME</t>
        </is>
      </c>
      <c r="D5" s="19" t="inlineStr">
        <is>
          <t>elite</t>
        </is>
      </c>
      <c r="E5" s="19" t="inlineStr">
        <is>
          <t>1400</t>
        </is>
      </c>
      <c r="F5" s="19" t="inlineStr">
        <is>
          <t>Priority models gate</t>
        </is>
      </c>
      <c r="G5" s="19" t="inlineStr">
        <is>
          <t>Asha Sharma</t>
        </is>
      </c>
      <c r="H5" s="19" t="inlineStr"/>
    </row>
    <row r="6">
      <c r="A6" s="20" t="inlineStr">
        <is>
          <t>Admin</t>
        </is>
      </c>
      <c r="B6" s="20" t="inlineStr">
        <is>
          <t>qa.admin@example.com</t>
        </is>
      </c>
      <c r="C6" s="20" t="inlineStr">
        <is>
          <t>REPLACE_ME</t>
        </is>
      </c>
      <c r="D6" s="20" t="inlineStr">
        <is>
          <t>pro+</t>
        </is>
      </c>
      <c r="E6" s="20" t="inlineStr">
        <is>
          <t>4000</t>
        </is>
      </c>
      <c r="F6" s="20" t="inlineStr">
        <is>
          <t>profiles.role = admin</t>
        </is>
      </c>
      <c r="G6" s="20" t="inlineStr">
        <is>
          <t>Kavya Iyer</t>
        </is>
      </c>
      <c r="H6" s="20" t="inlineStr"/>
    </row>
    <row r="7">
      <c r="A7" s="19" t="inlineStr">
        <is>
          <t>Stripe test card</t>
        </is>
      </c>
      <c r="B7" s="19" t="inlineStr">
        <is>
          <t>N/A</t>
        </is>
      </c>
      <c r="C7" s="19" t="inlineStr">
        <is>
          <t>4242 4242 4242 4242</t>
        </is>
      </c>
      <c r="D7" s="19" t="inlineStr">
        <is>
          <t>N/A</t>
        </is>
      </c>
      <c r="E7" s="19" t="inlineStr">
        <is>
          <t>N/A</t>
        </is>
      </c>
      <c r="F7" s="19" t="inlineStr">
        <is>
          <t>Any future expiry + any CVC; Stripe test mode only</t>
        </is>
      </c>
      <c r="G7" s="19" t="inlineStr">
        <is>
          <t>Asha Sharma</t>
        </is>
      </c>
      <c r="H7" s="19" t="inlineStr"/>
    </row>
    <row r="8">
      <c r="A8" s="20" t="inlineStr">
        <is>
          <t>Razorpay test</t>
        </is>
      </c>
      <c r="B8" s="20" t="inlineStr">
        <is>
          <t>N/A</t>
        </is>
      </c>
      <c r="C8" s="20" t="inlineStr">
        <is>
          <t>Dashboard test keys</t>
        </is>
      </c>
      <c r="D8" s="20" t="inlineStr">
        <is>
          <t>N/A</t>
        </is>
      </c>
      <c r="E8" s="20" t="inlineStr">
        <is>
          <t>N/A</t>
        </is>
      </c>
      <c r="F8" s="20" t="inlineStr">
        <is>
          <t>INR one-time Order — no auto-renew (BUG-OPEN-01)</t>
        </is>
      </c>
      <c r="G8" s="20" t="inlineStr">
        <is>
          <t>Asha Sharma</t>
        </is>
      </c>
      <c r="H8" s="20" t="inlineStr"/>
    </row>
  </sheetData>
  <autoFilter ref="A2:H8"/>
  <mergeCells count="1">
    <mergeCell ref="A1:H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30" customWidth="1" min="2" max="2"/>
    <col width="23" customWidth="1" min="3" max="3"/>
    <col width="36" customWidth="1" min="4" max="4"/>
    <col width="12" customWidth="1" min="5" max="5"/>
    <col width="36" customWidth="1" min="6" max="6"/>
  </cols>
  <sheetData>
    <row r="1">
      <c r="A1" s="1" t="inlineStr">
        <is>
          <t>Environments</t>
        </is>
      </c>
    </row>
    <row r="2">
      <c r="A2" s="18" t="inlineStr">
        <is>
          <t>Environment</t>
        </is>
      </c>
      <c r="B2" s="18" t="inlineStr">
        <is>
          <t>Base URL</t>
        </is>
      </c>
      <c r="C2" s="18" t="inlineStr">
        <is>
          <t>Supabase project</t>
        </is>
      </c>
      <c r="D2" s="18" t="inlineStr">
        <is>
          <t>Owner</t>
        </is>
      </c>
      <c r="E2" s="18" t="inlineStr">
        <is>
          <t>Read/Write</t>
        </is>
      </c>
      <c r="F2" s="18" t="inlineStr">
        <is>
          <t>Notes</t>
        </is>
      </c>
    </row>
    <row r="3">
      <c r="A3" s="19" t="inlineStr">
        <is>
          <t>Local</t>
        </is>
      </c>
      <c r="B3" s="19" t="inlineStr">
        <is>
          <t>http://localhost:5173</t>
        </is>
      </c>
      <c r="C3" s="19" t="inlineStr">
        <is>
          <t>local / linked</t>
        </is>
      </c>
      <c r="D3" s="19" t="inlineStr">
        <is>
          <t>Dev Lead</t>
        </is>
      </c>
      <c r="E3" s="19" t="inlineStr">
        <is>
          <t>Read-Write</t>
        </is>
      </c>
      <c r="F3" s="19" t="inlineStr">
        <is>
          <t>npm run dev</t>
        </is>
      </c>
    </row>
    <row r="4">
      <c r="A4" s="20" t="inlineStr">
        <is>
          <t>Staging</t>
        </is>
      </c>
      <c r="B4" s="20" t="inlineStr">
        <is>
          <t>https://STAGING_HOST_REPLACE</t>
        </is>
      </c>
      <c r="C4" s="20" t="inlineStr">
        <is>
          <t>staging project ref</t>
        </is>
      </c>
      <c r="D4" s="20" t="inlineStr">
        <is>
          <t>QA Lead</t>
        </is>
      </c>
      <c r="E4" s="20" t="inlineStr">
        <is>
          <t>Read-Write</t>
        </is>
      </c>
      <c r="F4" s="20" t="inlineStr">
        <is>
          <t>Primary QA target — set BaseURL cell B3 used by Feature Deep Links</t>
        </is>
      </c>
    </row>
    <row r="5">
      <c r="A5" s="19" t="inlineStr">
        <is>
          <t>Prod (read-only QA)</t>
        </is>
      </c>
      <c r="B5" s="19" t="inlineStr">
        <is>
          <t>https://PROD_HOST_REPLACE</t>
        </is>
      </c>
      <c r="C5" s="19" t="inlineStr">
        <is>
          <t>prod project ref</t>
        </is>
      </c>
      <c r="D5" s="19" t="inlineStr">
        <is>
          <t>QA Lead</t>
        </is>
      </c>
      <c r="E5" s="19" t="inlineStr">
        <is>
          <t>Read-only</t>
        </is>
      </c>
      <c r="F5" s="19" t="inlineStr">
        <is>
          <t>No destructive admin tests</t>
        </is>
      </c>
    </row>
    <row r="6"/>
    <row r="7"/>
    <row r="8">
      <c r="A8" s="10" t="inlineStr">
        <is>
          <t>Environments &amp; Secrets Checklist</t>
        </is>
      </c>
    </row>
    <row r="9">
      <c r="A9" s="27" t="inlineStr">
        <is>
          <t>Secret / Config</t>
        </is>
      </c>
      <c r="B9" s="27" t="inlineStr">
        <is>
          <t>Where</t>
        </is>
      </c>
      <c r="C9" s="27" t="inlineStr">
        <is>
          <t>Launch impact</t>
        </is>
      </c>
      <c r="D9" s="27" t="inlineStr">
        <is>
          <t>Notes</t>
        </is>
      </c>
    </row>
    <row r="10">
      <c r="A10" s="28" t="inlineStr">
        <is>
          <t>VITE_SUPABASE_URL</t>
        </is>
      </c>
      <c r="B10" s="28" t="inlineStr">
        <is>
          <t>Client</t>
        </is>
      </c>
      <c r="C10" s="28" t="inlineStr">
        <is>
          <t>Required</t>
        </is>
      </c>
      <c r="D10" s="28" t="inlineStr">
        <is>
          <t>Supabase project URL</t>
        </is>
      </c>
    </row>
    <row r="11">
      <c r="A11" s="28" t="inlineStr">
        <is>
          <t>VITE_SUPABASE_ANON_KEY / PUBLISHABLE_KEY</t>
        </is>
      </c>
      <c r="B11" s="28" t="inlineStr">
        <is>
          <t>Client</t>
        </is>
      </c>
      <c r="C11" s="28" t="inlineStr">
        <is>
          <t>Required</t>
        </is>
      </c>
      <c r="D11" s="28" t="inlineStr">
        <is>
          <t>Rotate in Dashboard if historically exposed (BUG-OPEN-30)</t>
        </is>
      </c>
    </row>
    <row r="12">
      <c r="A12" s="28" t="inlineStr">
        <is>
          <t>SUPABASE_SERVICE_ROLE_KEY</t>
        </is>
      </c>
      <c r="B12" s="28" t="inlineStr">
        <is>
          <t>Edge secrets</t>
        </is>
      </c>
      <c r="C12" s="28" t="inlineStr">
        <is>
          <t>Required</t>
        </is>
      </c>
      <c r="D12" s="28" t="inlineStr">
        <is>
          <t>Never in Vite</t>
        </is>
      </c>
    </row>
    <row r="13">
      <c r="A13" s="28" t="inlineStr">
        <is>
          <t>RESEND_API_KEY</t>
        </is>
      </c>
      <c r="B13" s="28" t="inlineStr">
        <is>
          <t>Edge secrets</t>
        </is>
      </c>
      <c r="C13" s="28" t="inlineStr">
        <is>
          <t>Blocked feature</t>
        </is>
      </c>
      <c r="D13" s="28" t="inlineStr">
        <is>
          <t>Interview reminders / send-email (BUG-OPEN-26)</t>
        </is>
      </c>
    </row>
    <row r="14">
      <c r="A14" s="28" t="inlineStr">
        <is>
          <t>GOOGLE_CLIENT_ID / GOOGLE_CLIENT_SECRET</t>
        </is>
      </c>
      <c r="B14" s="28" t="inlineStr">
        <is>
          <t>Edge secrets</t>
        </is>
      </c>
      <c r="C14" s="28" t="inlineStr">
        <is>
          <t>Blocked feature</t>
        </is>
      </c>
      <c r="D14" s="28" t="inlineStr">
        <is>
          <t>Calendar sync 501 without these (BUG-OPEN-03)</t>
        </is>
      </c>
    </row>
    <row r="15">
      <c r="A15" s="28" t="inlineStr">
        <is>
          <t>STRIPE_SECRET_KEY + webhook secret</t>
        </is>
      </c>
      <c r="B15" s="28" t="inlineStr">
        <is>
          <t>Edge secrets</t>
        </is>
      </c>
      <c r="C15" s="28" t="inlineStr">
        <is>
          <t>Required (USD)</t>
        </is>
      </c>
      <c r="D15" s="28" t="inlineStr">
        <is>
          <t>Checkout + webhooks</t>
        </is>
      </c>
    </row>
    <row r="16">
      <c r="A16" s="28" t="inlineStr">
        <is>
          <t>RAZORPAY_KEY_ID / KEY_SECRET / WEBHOOK_SECRET</t>
        </is>
      </c>
      <c r="B16" s="28" t="inlineStr">
        <is>
          <t>Edge secrets</t>
        </is>
      </c>
      <c r="C16" s="28" t="inlineStr">
        <is>
          <t>Required (INR)</t>
        </is>
      </c>
      <c r="D16" s="28" t="inlineStr">
        <is>
          <t>One-time orders only — no Subscriptions</t>
        </is>
      </c>
    </row>
    <row r="17">
      <c r="A17" s="28" t="inlineStr">
        <is>
          <t>GEMINI_API_KEY (or AI keys used by callAI)</t>
        </is>
      </c>
      <c r="B17" s="28" t="inlineStr">
        <is>
          <t>Edge secrets</t>
        </is>
      </c>
      <c r="C17" s="28" t="inlineStr">
        <is>
          <t>Required for AI</t>
        </is>
      </c>
      <c r="D17" s="28" t="inlineStr">
        <is>
          <t>Gap analysis, mocks, collect-exam-papers</t>
        </is>
      </c>
    </row>
    <row r="18">
      <c r="A18" s="28" t="inlineStr">
        <is>
          <t>DEEPGRAM_API_KEY</t>
        </is>
      </c>
      <c r="B18" s="28" t="inlineStr">
        <is>
          <t>Edge secrets</t>
        </is>
      </c>
      <c r="C18" s="28" t="inlineStr">
        <is>
          <t>Required live</t>
        </is>
      </c>
      <c r="D18" s="28" t="inlineStr">
        <is>
          <t>STT token</t>
        </is>
      </c>
    </row>
    <row r="19">
      <c r="A19" s="28" t="inlineStr">
        <is>
          <t>Code signing EV/OV cert</t>
        </is>
      </c>
      <c r="B19" s="28" t="inlineStr">
        <is>
          <t>CI/build</t>
        </is>
      </c>
      <c r="C19" s="28" t="inlineStr">
        <is>
          <t>Blocked desktop trust</t>
        </is>
      </c>
      <c r="D19" s="28" t="inlineStr">
        <is>
          <t>Unsigned Windows SmartScreen (BUG-OPEN-18/19)</t>
        </is>
      </c>
    </row>
    <row r="20">
      <c r="A20" s="28" t="inlineStr">
        <is>
          <t>VITE_POSTHOG_KEY</t>
        </is>
      </c>
      <c r="B20" s="28" t="inlineStr">
        <is>
          <t>Client optional</t>
        </is>
      </c>
      <c r="C20" s="28" t="inlineStr">
        <is>
          <t>Optional</t>
        </is>
      </c>
      <c r="D20" s="28" t="inlineStr">
        <is>
          <t>Analytics opt-out tested when set</t>
        </is>
      </c>
    </row>
    <row r="21">
      <c r="A21" s="28" t="inlineStr">
        <is>
          <t>VITE_SENTRY_DSN</t>
        </is>
      </c>
      <c r="B21" s="28" t="inlineStr">
        <is>
          <t>Client optional</t>
        </is>
      </c>
      <c r="C21" s="28" t="inlineStr">
        <is>
          <t>Optional</t>
        </is>
      </c>
      <c r="D21" s="28" t="inlineStr">
        <is>
          <t>Error reporting</t>
        </is>
      </c>
    </row>
  </sheetData>
  <autoFilter ref="A2:F5"/>
  <mergeCells count="1">
    <mergeCell ref="A1:F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36" customWidth="1" min="3" max="3"/>
    <col width="23" customWidth="1" min="4" max="4"/>
    <col width="36" customWidth="1" min="5" max="5"/>
    <col width="18" customWidth="1" min="6" max="6"/>
    <col width="25" customWidth="1" min="7" max="7"/>
    <col width="36" customWidth="1" min="8" max="8"/>
  </cols>
  <sheetData>
    <row r="1">
      <c r="A1" s="1" t="inlineStr">
        <is>
          <t>Module Playbooks — 20 modules</t>
        </is>
      </c>
    </row>
    <row r="2">
      <c r="A2" s="18" t="inlineStr">
        <is>
          <t>Module ID</t>
        </is>
      </c>
      <c r="B2" s="18" t="inlineStr">
        <is>
          <t>Module</t>
        </is>
      </c>
      <c r="C2" s="18" t="inlineStr">
        <is>
          <t>Purpose</t>
        </is>
      </c>
      <c r="D2" s="18" t="inlineStr">
        <is>
          <t>Entry URL</t>
        </is>
      </c>
      <c r="E2" s="18" t="inlineStr">
        <is>
          <t>Happy path (steps)</t>
        </is>
      </c>
      <c r="F2" s="18" t="inlineStr">
        <is>
          <t>Plan gate</t>
        </is>
      </c>
      <c r="G2" s="18" t="inlineStr">
        <is>
          <t>Dependencies</t>
        </is>
      </c>
      <c r="H2" s="18" t="inlineStr">
        <is>
          <t>Done when</t>
        </is>
      </c>
    </row>
    <row r="3">
      <c r="A3" s="19" t="inlineStr">
        <is>
          <t>MOD-01</t>
        </is>
      </c>
      <c r="B3" s="19" t="inlineStr">
        <is>
          <t>Auth &amp; Onboarding</t>
        </is>
      </c>
      <c r="C3" s="19" t="inlineStr">
        <is>
          <t>Sign up/login and finish onboarding</t>
        </is>
      </c>
      <c r="D3" s="19" t="inlineStr">
        <is>
          <t>/login</t>
        </is>
      </c>
      <c r="E3" s="19" t="inlineStr">
        <is>
          <t>1. Sign up 2. Verify email 3. Complete 5 steps</t>
        </is>
      </c>
      <c r="F3" s="19" t="inlineStr">
        <is>
          <t>Free</t>
        </is>
      </c>
      <c r="G3" s="19" t="inlineStr">
        <is>
          <t>Supabase Auth</t>
        </is>
      </c>
      <c r="H3" s="19" t="inlineStr">
        <is>
          <t>Land on dashboard with profile</t>
        </is>
      </c>
    </row>
    <row r="4">
      <c r="A4" s="20" t="inlineStr">
        <is>
          <t>MOD-02</t>
        </is>
      </c>
      <c r="B4" s="20" t="inlineStr">
        <is>
          <t>Dashboard</t>
        </is>
      </c>
      <c r="C4" s="20" t="inlineStr">
        <is>
          <t>See KPIs and navigate app</t>
        </is>
      </c>
      <c r="D4" s="20" t="inlineStr">
        <is>
          <t>/app/dashboard</t>
        </is>
      </c>
      <c r="E4" s="20" t="inlineStr">
        <is>
          <t>1. Open home 2. Check credits/sessions 3. Mobile More nav</t>
        </is>
      </c>
      <c r="F4" s="20" t="inlineStr">
        <is>
          <t>Free</t>
        </is>
      </c>
      <c r="G4" s="20" t="inlineStr">
        <is>
          <t>Auth session</t>
        </is>
      </c>
      <c r="H4" s="20" t="inlineStr">
        <is>
          <t>KPIs load; nav works</t>
        </is>
      </c>
    </row>
    <row r="5">
      <c r="A5" s="19" t="inlineStr">
        <is>
          <t>MOD-03</t>
        </is>
      </c>
      <c r="B5" s="19" t="inlineStr">
        <is>
          <t>Live Practice Coach</t>
        </is>
      </c>
      <c r="C5" s="19" t="inlineStr">
        <is>
          <t>Run live coach with STT + hint</t>
        </is>
      </c>
      <c r="D5" s="19" t="inlineStr">
        <is>
          <t>/app/live</t>
        </is>
      </c>
      <c r="E5" s="19" t="inlineStr">
        <is>
          <t>1. Start session 2. Capture audio 3. Request hint</t>
        </is>
      </c>
      <c r="F5" s="19" t="inlineStr">
        <is>
          <t>Free/Pro overlay</t>
        </is>
      </c>
      <c r="G5" s="19" t="inlineStr">
        <is>
          <t>Deepgram + credits</t>
        </is>
      </c>
      <c r="H5" s="19" t="inlineStr">
        <is>
          <t>Transcript + hint without crash</t>
        </is>
      </c>
    </row>
    <row r="6">
      <c r="A6" s="20" t="inlineStr">
        <is>
          <t>MOD-04</t>
        </is>
      </c>
      <c r="B6" s="20" t="inlineStr">
        <is>
          <t>Mock Interview</t>
        </is>
      </c>
      <c r="C6" s="20" t="inlineStr">
        <is>
          <t>Timed mock interview</t>
        </is>
      </c>
      <c r="D6" s="20" t="inlineStr">
        <is>
          <t>/app/mock</t>
        </is>
      </c>
      <c r="E6" s="20" t="inlineStr">
        <is>
          <t>1. Configure 2. Answer 3. Finish scoring</t>
        </is>
      </c>
      <c r="F6" s="20" t="inlineStr">
        <is>
          <t>Free</t>
        </is>
      </c>
      <c r="G6" s="20" t="inlineStr">
        <is>
          <t>AI edge</t>
        </is>
      </c>
      <c r="H6" s="20" t="inlineStr">
        <is>
          <t>Session saved; note no TTS</t>
        </is>
      </c>
    </row>
    <row r="7">
      <c r="A7" s="19" t="inlineStr">
        <is>
          <t>MOD-05</t>
        </is>
      </c>
      <c r="B7" s="19" t="inlineStr">
        <is>
          <t>Sessions &amp; Debriefs</t>
        </is>
      </c>
      <c r="C7" s="19" t="inlineStr">
        <is>
          <t>Review history + debrief</t>
        </is>
      </c>
      <c r="D7" s="19" t="inlineStr">
        <is>
          <t>/app/sessions</t>
        </is>
      </c>
      <c r="E7" s="19" t="inlineStr">
        <is>
          <t>1. Open session 2. Debrief 3. Share if enabled</t>
        </is>
      </c>
      <c r="F7" s="19" t="inlineStr">
        <is>
          <t>Free</t>
        </is>
      </c>
      <c r="G7" s="19" t="inlineStr">
        <is>
          <t>Credits for debrief</t>
        </is>
      </c>
      <c r="H7" s="19" t="inlineStr">
        <is>
          <t>Scores/debrief render</t>
        </is>
      </c>
    </row>
    <row r="8">
      <c r="A8" s="20" t="inlineStr">
        <is>
          <t>MOD-06</t>
        </is>
      </c>
      <c r="B8" s="20" t="inlineStr">
        <is>
          <t>Analytics &amp; Usage</t>
        </is>
      </c>
      <c r="C8" s="20" t="inlineStr">
        <is>
          <t>Analytics + usage ledger</t>
        </is>
      </c>
      <c r="D8" s="20" t="inlineStr">
        <is>
          <t>/app/analytics</t>
        </is>
      </c>
      <c r="E8" s="20" t="inlineStr">
        <is>
          <t>1. Open analytics 2. Open /app/usage</t>
        </is>
      </c>
      <c r="F8" s="20" t="inlineStr">
        <is>
          <t>Free</t>
        </is>
      </c>
      <c r="G8" s="20" t="inlineStr">
        <is>
          <t>Sessions data</t>
        </is>
      </c>
      <c r="H8" s="20" t="inlineStr">
        <is>
          <t>Charts/ledger load</t>
        </is>
      </c>
    </row>
    <row r="9">
      <c r="A9" s="19" t="inlineStr">
        <is>
          <t>MOD-07</t>
        </is>
      </c>
      <c r="B9" s="19" t="inlineStr">
        <is>
          <t>Prep Lab</t>
        </is>
      </c>
      <c r="C9" s="19" t="inlineStr">
        <is>
          <t>Prep Lab tools</t>
        </is>
      </c>
      <c r="D9" s="19" t="inlineStr">
        <is>
          <t>/app/prep</t>
        </is>
      </c>
      <c r="E9" s="19" t="inlineStr">
        <is>
          <t>1. STAR 2. Rephrase 3. Confirm credit toast</t>
        </is>
      </c>
      <c r="F9" s="19" t="inlineStr">
        <is>
          <t>Free</t>
        </is>
      </c>
      <c r="G9" s="19" t="inlineStr">
        <is>
          <t>prep-tool edge</t>
        </is>
      </c>
      <c r="H9" s="19" t="inlineStr">
        <is>
          <t>Output appears; credits deduct</t>
        </is>
      </c>
    </row>
    <row r="10">
      <c r="A10" s="20" t="inlineStr">
        <is>
          <t>MOD-08</t>
        </is>
      </c>
      <c r="B10" s="20" t="inlineStr">
        <is>
          <t>Documents &amp; Resumes</t>
        </is>
      </c>
      <c r="C10" s="20" t="inlineStr">
        <is>
          <t>Documents + gap + versions</t>
        </is>
      </c>
      <c r="D10" s="20" t="inlineStr">
        <is>
          <t>/app/documents</t>
        </is>
      </c>
      <c r="E10" s="20" t="inlineStr">
        <is>
          <t>1. Upload resume 2. JD gap analysis 3. Version history</t>
        </is>
      </c>
      <c r="F10" s="20" t="inlineStr">
        <is>
          <t>Free</t>
        </is>
      </c>
      <c r="G10" s="20" t="inlineStr">
        <is>
          <t>parse/gap edges</t>
        </is>
      </c>
      <c r="H10" s="20" t="inlineStr">
        <is>
          <t>Parse + gap + versions visible</t>
        </is>
      </c>
    </row>
    <row r="11">
      <c r="A11" s="19" t="inlineStr">
        <is>
          <t>MOD-09</t>
        </is>
      </c>
      <c r="B11" s="19" t="inlineStr">
        <is>
          <t>Answer Bank</t>
        </is>
      </c>
      <c r="C11" s="19" t="inlineStr">
        <is>
          <t>Answer bank CRUD</t>
        </is>
      </c>
      <c r="D11" s="19" t="inlineStr">
        <is>
          <t>/app/answers</t>
        </is>
      </c>
      <c r="E11" s="19" t="inlineStr">
        <is>
          <t>1. Create 2. Edit 3. Favourite</t>
        </is>
      </c>
      <c r="F11" s="19" t="inlineStr">
        <is>
          <t>Free</t>
        </is>
      </c>
      <c r="G11" s="19" t="inlineStr">
        <is>
          <t>DB</t>
        </is>
      </c>
      <c r="H11" s="19" t="inlineStr">
        <is>
          <t>Persists after refresh</t>
        </is>
      </c>
    </row>
    <row r="12">
      <c r="A12" s="20" t="inlineStr">
        <is>
          <t>MOD-10</t>
        </is>
      </c>
      <c r="B12" s="20" t="inlineStr">
        <is>
          <t>Interviews &amp; Calendar</t>
        </is>
      </c>
      <c r="C12" s="20" t="inlineStr">
        <is>
          <t>Schedule + calendar</t>
        </is>
      </c>
      <c r="D12" s="20" t="inlineStr">
        <is>
          <t>/app/interviews</t>
        </is>
      </c>
      <c r="E12" s="20" t="inlineStr">
        <is>
          <t>1. Create interview 2. Interview Day 3. Calendar sync if secrets</t>
        </is>
      </c>
      <c r="F12" s="20" t="inlineStr">
        <is>
          <t>Pro for sync</t>
        </is>
      </c>
      <c r="G12" s="20" t="inlineStr">
        <is>
          <t>Resend/Google secrets</t>
        </is>
      </c>
      <c r="H12" s="20" t="inlineStr">
        <is>
          <t>CRUD works; sync Blocked without secrets</t>
        </is>
      </c>
    </row>
    <row r="13">
      <c r="A13" s="19" t="inlineStr">
        <is>
          <t>MOD-11</t>
        </is>
      </c>
      <c r="B13" s="19" t="inlineStr">
        <is>
          <t>Company Research</t>
        </is>
      </c>
      <c r="C13" s="19" t="inlineStr">
        <is>
          <t>Company brief</t>
        </is>
      </c>
      <c r="D13" s="19" t="inlineStr">
        <is>
          <t>/app/companies</t>
        </is>
      </c>
      <c r="E13" s="19" t="inlineStr">
        <is>
          <t>1. Search company 2. Generate brief</t>
        </is>
      </c>
      <c r="F13" s="19" t="inlineStr">
        <is>
          <t>Pro+</t>
        </is>
      </c>
      <c r="G13" s="19" t="inlineStr">
        <is>
          <t>company-research</t>
        </is>
      </c>
      <c r="H13" s="19" t="inlineStr">
        <is>
          <t>Brief cached</t>
        </is>
      </c>
    </row>
    <row r="14">
      <c r="A14" s="20" t="inlineStr">
        <is>
          <t>MOD-12</t>
        </is>
      </c>
      <c r="B14" s="20" t="inlineStr">
        <is>
          <t>Notifications &amp; Profile</t>
        </is>
      </c>
      <c r="C14" s="20" t="inlineStr">
        <is>
          <t>Notifications + prefs</t>
        </is>
      </c>
      <c r="D14" s="20" t="inlineStr">
        <is>
          <t>/app/notifications</t>
        </is>
      </c>
      <c r="E14" s="20" t="inlineStr">
        <is>
          <t>1. See inbox 2. Settings notifications prefs</t>
        </is>
      </c>
      <c r="F14" s="20" t="inlineStr">
        <is>
          <t>Free</t>
        </is>
      </c>
      <c r="G14" s="20" t="inlineStr">
        <is>
          <t>send-email prefs</t>
        </is>
      </c>
      <c r="H14" s="20" t="inlineStr">
        <is>
          <t>Prefs save; email gated</t>
        </is>
      </c>
    </row>
    <row r="15">
      <c r="A15" s="19" t="inlineStr">
        <is>
          <t>MOD-13</t>
        </is>
      </c>
      <c r="B15" s="19" t="inlineStr">
        <is>
          <t>Referrals &amp; Guide</t>
        </is>
      </c>
      <c r="C15" s="19" t="inlineStr">
        <is>
          <t>Referrals + guide</t>
        </is>
      </c>
      <c r="D15" s="19" t="inlineStr">
        <is>
          <t>/app/referrals</t>
        </is>
      </c>
      <c r="E15" s="19" t="inlineStr">
        <is>
          <t>1. Copy code 2. Open guide</t>
        </is>
      </c>
      <c r="F15" s="19" t="inlineStr">
        <is>
          <t>Free</t>
        </is>
      </c>
      <c r="G15" s="19" t="inlineStr">
        <is>
          <t>DB</t>
        </is>
      </c>
      <c r="H15" s="19" t="inlineStr">
        <is>
          <t>Code visible</t>
        </is>
      </c>
    </row>
    <row r="16">
      <c r="A16" s="20" t="inlineStr">
        <is>
          <t>MOD-14</t>
        </is>
      </c>
      <c r="B16" s="20" t="inlineStr">
        <is>
          <t>Gov Exam Mock Tests</t>
        </is>
      </c>
      <c r="C16" s="20" t="inlineStr">
        <is>
          <t>Gov exam mock</t>
        </is>
      </c>
      <c r="D16" s="20" t="inlineStr">
        <is>
          <t>/app/mock-test</t>
        </is>
      </c>
      <c r="E16" s="20" t="inlineStr">
        <is>
          <t>1. Pick exam 2. Create test 3. Submit</t>
        </is>
      </c>
      <c r="F16" s="20" t="inlineStr">
        <is>
          <t>Free (India)</t>
        </is>
      </c>
      <c r="G16" s="20" t="inlineStr">
        <is>
          <t>Expanded MCQ seeds</t>
        </is>
      </c>
      <c r="H16" s="20" t="inlineStr">
        <is>
          <t>Full mock completes</t>
        </is>
      </c>
    </row>
    <row r="17">
      <c r="A17" s="19" t="inlineStr">
        <is>
          <t>MOD-15</t>
        </is>
      </c>
      <c r="B17" s="19" t="inlineStr">
        <is>
          <t>Settings</t>
        </is>
      </c>
      <c r="C17" s="19" t="inlineStr">
        <is>
          <t>Settings honesty</t>
        </is>
      </c>
      <c r="D17" s="19" t="inlineStr">
        <is>
          <t>/app/settings</t>
        </is>
      </c>
      <c r="E17" s="19" t="inlineStr">
        <is>
          <t>1. Billing 2. Privacy analytics 3. Integrations</t>
        </is>
      </c>
      <c r="F17" s="19" t="inlineStr">
        <is>
          <t>Free</t>
        </is>
      </c>
      <c r="G17" s="19" t="inlineStr">
        <is>
          <t>PostHog optional</t>
        </is>
      </c>
      <c r="H17" s="19" t="inlineStr">
        <is>
          <t>Honesty banners accurate</t>
        </is>
      </c>
    </row>
    <row r="18">
      <c r="A18" s="20" t="inlineStr">
        <is>
          <t>MOD-16</t>
        </is>
      </c>
      <c r="B18" s="20" t="inlineStr">
        <is>
          <t>Admin Portal</t>
        </is>
      </c>
      <c r="C18" s="20" t="inlineStr">
        <is>
          <t>Admin ops</t>
        </is>
      </c>
      <c r="D18" s="20" t="inlineStr">
        <is>
          <t>/app/admin</t>
        </is>
      </c>
      <c r="E18" s="20" t="inlineStr">
        <is>
          <t>1. Users 2. Support→Live Chat 3. Model costs read-only</t>
        </is>
      </c>
      <c r="F18" s="20" t="inlineStr">
        <is>
          <t>Admin</t>
        </is>
      </c>
      <c r="G18" s="20" t="inlineStr">
        <is>
          <t>admin role</t>
        </is>
      </c>
      <c r="H18" s="20" t="inlineStr">
        <is>
          <t>No stub Save; chat reachable</t>
        </is>
      </c>
    </row>
    <row r="19">
      <c r="A19" s="19" t="inlineStr">
        <is>
          <t>MOD-17</t>
        </is>
      </c>
      <c r="B19" s="19" t="inlineStr">
        <is>
          <t>Marketing Site</t>
        </is>
      </c>
      <c r="C19" s="19" t="inlineStr">
        <is>
          <t>Marketing pages</t>
        </is>
      </c>
      <c r="D19" s="19" t="inlineStr">
        <is>
          <t>/</t>
        </is>
      </c>
      <c r="E19" s="19" t="inlineStr">
        <is>
          <t>1. Landing 2. Pricing 3. Legal</t>
        </is>
      </c>
      <c r="F19" s="19" t="inlineStr">
        <is>
          <t>Guest</t>
        </is>
      </c>
      <c r="G19" s="19" t="inlineStr">
        <is>
          <t>Static</t>
        </is>
      </c>
      <c r="H19" s="19" t="inlineStr">
        <is>
          <t>Pages render</t>
        </is>
      </c>
    </row>
    <row r="20">
      <c r="A20" s="20" t="inlineStr">
        <is>
          <t>MOD-18</t>
        </is>
      </c>
      <c r="B20" s="20" t="inlineStr">
        <is>
          <t>Billing &amp; Credits</t>
        </is>
      </c>
      <c r="C20" s="20" t="inlineStr">
        <is>
          <t>Stripe/Razorpay + credits</t>
        </is>
      </c>
      <c r="D20" s="20" t="inlineStr">
        <is>
          <t>/app/settings/billing</t>
        </is>
      </c>
      <c r="E20" s="20" t="inlineStr">
        <is>
          <t>1. Checkout test 2. Webhook credit 3. Ledger</t>
        </is>
      </c>
      <c r="F20" s="20" t="inlineStr">
        <is>
          <t>Free→Pro</t>
        </is>
      </c>
      <c r="G20" s="20" t="inlineStr">
        <is>
          <t>Stripe/Razorpay secrets</t>
        </is>
      </c>
      <c r="H20" s="20" t="inlineStr">
        <is>
          <t>Credits grant; Razorpay one-time honesty</t>
        </is>
      </c>
    </row>
    <row r="21">
      <c r="A21" s="19" t="inlineStr">
        <is>
          <t>MOD-19</t>
        </is>
      </c>
      <c r="B21" s="19" t="inlineStr">
        <is>
          <t>Electron Desktop Overlay</t>
        </is>
      </c>
      <c r="C21" s="19" t="inlineStr">
        <is>
          <t>Electron overlay</t>
        </is>
      </c>
      <c r="D21" s="19" t="inlineStr">
        <is>
          <t>(desktop)</t>
        </is>
      </c>
      <c r="E21" s="19" t="inlineStr">
        <is>
          <t>1. Boot 2. Hotkeys 3. Overlay</t>
        </is>
      </c>
      <c r="F21" s="19" t="inlineStr">
        <is>
          <t>Pro overlay</t>
        </is>
      </c>
      <c r="G21" s="19" t="inlineStr">
        <is>
          <t>Unsigned build</t>
        </is>
      </c>
      <c r="H21" s="19" t="inlineStr">
        <is>
          <t>Works; SmartScreen expected</t>
        </is>
      </c>
    </row>
    <row r="22">
      <c r="A22" s="20" t="inlineStr">
        <is>
          <t>MOD-20</t>
        </is>
      </c>
      <c r="B22" s="20" t="inlineStr">
        <is>
          <t>Security &amp; Platform</t>
        </is>
      </c>
      <c r="C22" s="20" t="inlineStr">
        <is>
          <t>Security platform</t>
        </is>
      </c>
      <c r="D22" s="20" t="inlineStr">
        <is>
          <t>N/A</t>
        </is>
      </c>
      <c r="E22" s="20" t="inlineStr">
        <is>
          <t>1. RLS spot-check 2. Rate limit 3. Webhook signature</t>
        </is>
      </c>
      <c r="F22" s="20" t="inlineStr">
        <is>
          <t>Admin/ops</t>
        </is>
      </c>
      <c r="G22" s="20" t="inlineStr">
        <is>
          <t>Service role</t>
        </is>
      </c>
      <c r="H22" s="20" t="inlineStr">
        <is>
          <t>No open RLS holes in smoke</t>
        </is>
      </c>
    </row>
  </sheetData>
  <autoFilter ref="A2:H22"/>
  <mergeCells count="1">
    <mergeCell ref="A1:H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36" customWidth="1" min="3" max="3"/>
  </cols>
  <sheetData>
    <row r="1">
      <c r="A1" s="1" t="inlineStr">
        <is>
          <t>Launch Status Dashboard</t>
        </is>
      </c>
    </row>
    <row r="2">
      <c r="A2" s="18" t="inlineStr">
        <is>
          <t>Metric</t>
        </is>
      </c>
      <c r="B2" s="18" t="inlineStr">
        <is>
          <t>Count</t>
        </is>
      </c>
      <c r="C2" s="18" t="inlineStr">
        <is>
          <t>Notes</t>
        </is>
      </c>
    </row>
    <row r="3">
      <c r="A3" s="19" t="inlineStr">
        <is>
          <t>Bugs Fixed/Closed</t>
        </is>
      </c>
      <c r="B3" s="19" t="n">
        <v>38</v>
      </c>
      <c r="C3" s="19" t="inlineStr">
        <is>
          <t>Includes P0–P2 + launch-pass OPEN fixes</t>
        </is>
      </c>
    </row>
    <row r="4">
      <c r="A4" s="20" t="inlineStr">
        <is>
          <t>Bugs Open</t>
        </is>
      </c>
      <c r="B4" s="20" t="n">
        <v>13</v>
      </c>
      <c r="C4" s="20" t="inlineStr">
        <is>
          <t>Product/roadmap still open</t>
        </is>
      </c>
    </row>
    <row r="5">
      <c r="A5" s="19" t="inlineStr">
        <is>
          <t>Bugs Blocked (ops/secrets)</t>
        </is>
      </c>
      <c r="B5" s="19" t="n">
        <v>6</v>
      </c>
      <c r="C5" s="19" t="inlineStr">
        <is>
          <t>Calendar, Resend, signing, key rotation, Gemini collect</t>
        </is>
      </c>
    </row>
    <row r="6">
      <c r="A6" s="20" t="inlineStr">
        <is>
          <t>Bugs Won't Fix / Descope</t>
        </is>
      </c>
      <c r="B6" s="20" t="n">
        <v>1</v>
      </c>
      <c r="C6" s="20" t="inlineStr">
        <is>
          <t>Outlook etc.</t>
        </is>
      </c>
    </row>
    <row r="7">
      <c r="A7" s="19" t="inlineStr">
        <is>
          <t>Features total</t>
        </is>
      </c>
      <c r="B7" s="19" t="n">
        <v>114</v>
      </c>
      <c r="C7" s="19" t="inlineStr">
        <is>
          <t>See Feature Inventory</t>
        </is>
      </c>
    </row>
    <row r="8">
      <c r="A8" s="20" t="inlineStr">
        <is>
          <t>Features Completed status</t>
        </is>
      </c>
      <c r="B8" s="20" t="n">
        <v>91</v>
      </c>
      <c r="C8" s="20" t="inlineStr"/>
    </row>
    <row r="9"/>
    <row r="10"/>
    <row r="11"/>
    <row r="12">
      <c r="A12" s="10" t="inlineStr">
        <is>
          <t>Blocking for launch (honesty)</t>
        </is>
      </c>
    </row>
    <row r="13">
      <c r="A13" s="3" t="inlineStr">
        <is>
          <t>Razorpay is one-time Order only — copy must not promise renew (BUG-OPEN-01)</t>
        </is>
      </c>
    </row>
    <row r="14">
      <c r="A14" s="3" t="inlineStr">
        <is>
          <t>Unsigned Windows installer → SmartScreen (BUG-OPEN-18/19) unless EV/OV cert</t>
        </is>
      </c>
    </row>
    <row r="15">
      <c r="A15" s="3" t="inlineStr">
        <is>
          <t>Google Calendar sync 501 until OAuth secrets (BUG-OPEN-03) if calendar is promised</t>
        </is>
      </c>
    </row>
    <row r="16">
      <c r="A16" s="3" t="inlineStr">
        <is>
          <t>Interview email reminders need RESEND_API_KEY (BUG-OPEN-26)</t>
        </is>
      </c>
    </row>
    <row r="17">
      <c r="A17" s="3" t="inlineStr">
        <is>
          <t>Anon key rotation is Dashboard ops only (BUG-OPEN-30)</t>
        </is>
      </c>
    </row>
    <row r="18">
      <c r="A18" s="3" t="inlineStr">
        <is>
          <t>Gov bank expanded in migration — apply 20260729120000 before claiming full mocks</t>
        </is>
      </c>
    </row>
  </sheetData>
  <autoFilter ref="A2:C8"/>
  <mergeCells count="1">
    <mergeCell ref="A1:C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7" customWidth="1" min="3" max="3"/>
    <col width="29" customWidth="1" min="4" max="4"/>
    <col width="36" customWidth="1" min="5" max="5"/>
    <col width="36" customWidth="1" min="6" max="6"/>
    <col width="33" customWidth="1" min="7" max="7"/>
    <col width="12" customWidth="1" min="8" max="8"/>
  </cols>
  <sheetData>
    <row r="1">
      <c r="A1" s="1" t="inlineStr">
        <is>
          <t>Smoke Pack — ~20 must-pass</t>
        </is>
      </c>
    </row>
    <row r="2">
      <c r="A2" s="18" t="inlineStr">
        <is>
          <t>Smoke ID</t>
        </is>
      </c>
      <c r="B2" s="18" t="inlineStr">
        <is>
          <t>Title</t>
        </is>
      </c>
      <c r="C2" s="18" t="inlineStr">
        <is>
          <t>Credential role</t>
        </is>
      </c>
      <c r="D2" s="18" t="inlineStr">
        <is>
          <t>Route</t>
        </is>
      </c>
      <c r="E2" s="18" t="inlineStr">
        <is>
          <t>Deep Link</t>
        </is>
      </c>
      <c r="F2" s="18" t="inlineStr">
        <is>
          <t>Steps</t>
        </is>
      </c>
      <c r="G2" s="18" t="inlineStr">
        <is>
          <t>Expected</t>
        </is>
      </c>
      <c r="H2" s="18" t="inlineStr">
        <is>
          <t>Pass/Fail</t>
        </is>
      </c>
    </row>
    <row r="3">
      <c r="A3" s="19" t="inlineStr">
        <is>
          <t>SMK-01</t>
        </is>
      </c>
      <c r="B3" s="19" t="inlineStr">
        <is>
          <t>Login email</t>
        </is>
      </c>
      <c r="C3" s="19" t="inlineStr">
        <is>
          <t>Free</t>
        </is>
      </c>
      <c r="D3" s="19" t="inlineStr">
        <is>
          <t>/login</t>
        </is>
      </c>
      <c r="E3" s="19">
        <f>IFERROR(Environments!$B$3&amp;D3,D3)</f>
        <v/>
      </c>
      <c r="F3" s="19" t="inlineStr">
        <is>
          <t>Sign in with seeded free user</t>
        </is>
      </c>
      <c r="G3" s="19" t="inlineStr">
        <is>
          <t>Dashboard loads</t>
        </is>
      </c>
      <c r="H3" s="19" t="inlineStr">
        <is>
          <t>Not Run</t>
        </is>
      </c>
    </row>
    <row r="4">
      <c r="A4" s="20" t="inlineStr">
        <is>
          <t>SMK-02</t>
        </is>
      </c>
      <c r="B4" s="20" t="inlineStr">
        <is>
          <t>Dashboard KPIs</t>
        </is>
      </c>
      <c r="C4" s="20" t="inlineStr">
        <is>
          <t>Free</t>
        </is>
      </c>
      <c r="D4" s="20" t="inlineStr">
        <is>
          <t>/app/dashboard</t>
        </is>
      </c>
      <c r="E4" s="20">
        <f>IFERROR(Environments!$B$3&amp;D4,D4)</f>
        <v/>
      </c>
      <c r="F4" s="20" t="inlineStr">
        <is>
          <t>Open home</t>
        </is>
      </c>
      <c r="G4" s="20" t="inlineStr">
        <is>
          <t>Credits/sessions visible</t>
        </is>
      </c>
      <c r="H4" s="20" t="inlineStr">
        <is>
          <t>Not Run</t>
        </is>
      </c>
    </row>
    <row r="5">
      <c r="A5" s="19" t="inlineStr">
        <is>
          <t>SMK-03</t>
        </is>
      </c>
      <c r="B5" s="19" t="inlineStr">
        <is>
          <t>Mobile More nav</t>
        </is>
      </c>
      <c r="C5" s="19" t="inlineStr">
        <is>
          <t>Free</t>
        </is>
      </c>
      <c r="D5" s="19" t="inlineStr">
        <is>
          <t>/app/dashboard</t>
        </is>
      </c>
      <c r="E5" s="19">
        <f>IFERROR(Environments!$B$3&amp;D5,D5)</f>
        <v/>
      </c>
      <c r="F5" s="19" t="inlineStr">
        <is>
          <t>Open More; tap Usage + Interview Day</t>
        </is>
      </c>
      <c r="G5" s="19" t="inlineStr">
        <is>
          <t>Both routes open</t>
        </is>
      </c>
      <c r="H5" s="19" t="inlineStr">
        <is>
          <t>Not Run</t>
        </is>
      </c>
    </row>
    <row r="6">
      <c r="A6" s="20" t="inlineStr">
        <is>
          <t>SMK-04</t>
        </is>
      </c>
      <c r="B6" s="20" t="inlineStr">
        <is>
          <t>Live hint</t>
        </is>
      </c>
      <c r="C6" s="20" t="inlineStr">
        <is>
          <t>Pro</t>
        </is>
      </c>
      <c r="D6" s="20" t="inlineStr">
        <is>
          <t>/app/live</t>
        </is>
      </c>
      <c r="E6" s="20">
        <f>IFERROR(Environments!$B$3&amp;D6,D6)</f>
        <v/>
      </c>
      <c r="F6" s="20" t="inlineStr">
        <is>
          <t>Start + request hint</t>
        </is>
      </c>
      <c r="G6" s="20" t="inlineStr">
        <is>
          <t>Hint returns; credits drop</t>
        </is>
      </c>
      <c r="H6" s="20" t="inlineStr">
        <is>
          <t>Not Run</t>
        </is>
      </c>
    </row>
    <row r="7">
      <c r="A7" s="19" t="inlineStr">
        <is>
          <t>SMK-05</t>
        </is>
      </c>
      <c r="B7" s="19" t="inlineStr">
        <is>
          <t>Mock create</t>
        </is>
      </c>
      <c r="C7" s="19" t="inlineStr">
        <is>
          <t>Free</t>
        </is>
      </c>
      <c r="D7" s="19" t="inlineStr">
        <is>
          <t>/app/mock</t>
        </is>
      </c>
      <c r="E7" s="19">
        <f>IFERROR(Environments!$B$3&amp;D7,D7)</f>
        <v/>
      </c>
      <c r="F7" s="19" t="inlineStr">
        <is>
          <t>Start mock</t>
        </is>
      </c>
      <c r="G7" s="19" t="inlineStr">
        <is>
          <t>Session creates</t>
        </is>
      </c>
      <c r="H7" s="19" t="inlineStr">
        <is>
          <t>Not Run</t>
        </is>
      </c>
    </row>
    <row r="8">
      <c r="A8" s="20" t="inlineStr">
        <is>
          <t>SMK-06</t>
        </is>
      </c>
      <c r="B8" s="20" t="inlineStr">
        <is>
          <t>Resume parse</t>
        </is>
      </c>
      <c r="C8" s="20" t="inlineStr">
        <is>
          <t>Free</t>
        </is>
      </c>
      <c r="D8" s="20" t="inlineStr">
        <is>
          <t>/app/documents</t>
        </is>
      </c>
      <c r="E8" s="20">
        <f>IFERROR(Environments!$B$3&amp;D8,D8)</f>
        <v/>
      </c>
      <c r="F8" s="20" t="inlineStr">
        <is>
          <t>Upload resume</t>
        </is>
      </c>
      <c r="G8" s="20" t="inlineStr">
        <is>
          <t>Parsed fields show</t>
        </is>
      </c>
      <c r="H8" s="20" t="inlineStr">
        <is>
          <t>Not Run</t>
        </is>
      </c>
    </row>
    <row r="9">
      <c r="A9" s="19" t="inlineStr">
        <is>
          <t>SMK-07</t>
        </is>
      </c>
      <c r="B9" s="19" t="inlineStr">
        <is>
          <t>Gap analysis</t>
        </is>
      </c>
      <c r="C9" s="19" t="inlineStr">
        <is>
          <t>Pro</t>
        </is>
      </c>
      <c r="D9" s="19" t="inlineStr">
        <is>
          <t>/app/documents</t>
        </is>
      </c>
      <c r="E9" s="19">
        <f>IFERROR(Environments!$B$3&amp;D9,D9)</f>
        <v/>
      </c>
      <c r="F9" s="19" t="inlineStr">
        <is>
          <t>JD → Run gap analysis</t>
        </is>
      </c>
      <c r="G9" s="19" t="inlineStr">
        <is>
          <t>Match score UI; 402 if broke</t>
        </is>
      </c>
      <c r="H9" s="19" t="inlineStr">
        <is>
          <t>Not Run</t>
        </is>
      </c>
    </row>
    <row r="10">
      <c r="A10" s="20" t="inlineStr">
        <is>
          <t>SMK-08</t>
        </is>
      </c>
      <c r="B10" s="20" t="inlineStr">
        <is>
          <t>Resume versions</t>
        </is>
      </c>
      <c r="C10" s="20" t="inlineStr">
        <is>
          <t>Free</t>
        </is>
      </c>
      <c r="D10" s="20" t="inlineStr">
        <is>
          <t>/app/documents</t>
        </is>
      </c>
      <c r="E10" s="20">
        <f>IFERROR(Environments!$B$3&amp;D10,D10)</f>
        <v/>
      </c>
      <c r="F10" s="20" t="inlineStr">
        <is>
          <t>Open resume detail</t>
        </is>
      </c>
      <c r="G10" s="20" t="inlineStr">
        <is>
          <t>Version history card</t>
        </is>
      </c>
      <c r="H10" s="20" t="inlineStr">
        <is>
          <t>Not Run</t>
        </is>
      </c>
    </row>
    <row r="11">
      <c r="A11" s="19" t="inlineStr">
        <is>
          <t>SMK-09</t>
        </is>
      </c>
      <c r="B11" s="19" t="inlineStr">
        <is>
          <t>Gov mock</t>
        </is>
      </c>
      <c r="C11" s="19" t="inlineStr">
        <is>
          <t>Free</t>
        </is>
      </c>
      <c r="D11" s="19" t="inlineStr">
        <is>
          <t>/app/mock-test</t>
        </is>
      </c>
      <c r="E11" s="19">
        <f>IFERROR(Environments!$B$3&amp;D11,D11)</f>
        <v/>
      </c>
      <c r="F11" s="19" t="inlineStr">
        <is>
          <t>Create SSC/JEE-style test</t>
        </is>
      </c>
      <c r="G11" s="19" t="inlineStr">
        <is>
          <t>Enough questions load</t>
        </is>
      </c>
      <c r="H11" s="19" t="inlineStr">
        <is>
          <t>Not Run</t>
        </is>
      </c>
    </row>
    <row r="12">
      <c r="A12" s="20" t="inlineStr">
        <is>
          <t>SMK-10</t>
        </is>
      </c>
      <c r="B12" s="20" t="inlineStr">
        <is>
          <t>Billing Stripe test</t>
        </is>
      </c>
      <c r="C12" s="20" t="inlineStr">
        <is>
          <t>Free</t>
        </is>
      </c>
      <c r="D12" s="20" t="inlineStr">
        <is>
          <t>/app/settings/billing</t>
        </is>
      </c>
      <c r="E12" s="20">
        <f>IFERROR(Environments!$B$3&amp;D12,D12)</f>
        <v/>
      </c>
      <c r="F12" s="20" t="inlineStr">
        <is>
          <t>Checkout with 4242…</t>
        </is>
      </c>
      <c r="G12" s="20" t="inlineStr">
        <is>
          <t>Webhook grants plan/credits</t>
        </is>
      </c>
      <c r="H12" s="20" t="inlineStr">
        <is>
          <t>Not Run</t>
        </is>
      </c>
    </row>
    <row r="13">
      <c r="A13" s="19" t="inlineStr">
        <is>
          <t>SMK-11</t>
        </is>
      </c>
      <c r="B13" s="19" t="inlineStr">
        <is>
          <t>Razorpay honesty</t>
        </is>
      </c>
      <c r="C13" s="19" t="inlineStr">
        <is>
          <t>Free</t>
        </is>
      </c>
      <c r="D13" s="19" t="inlineStr">
        <is>
          <t>/app/settings/billing</t>
        </is>
      </c>
      <c r="E13" s="19">
        <f>IFERROR(Environments!$B$3&amp;D13,D13)</f>
        <v/>
      </c>
      <c r="F13" s="19" t="inlineStr">
        <is>
          <t>Read INR copy</t>
        </is>
      </c>
      <c r="G13" s="19" t="inlineStr">
        <is>
          <t>No auto-renew claim</t>
        </is>
      </c>
      <c r="H13" s="19" t="inlineStr">
        <is>
          <t>Not Run</t>
        </is>
      </c>
    </row>
    <row r="14">
      <c r="A14" s="20" t="inlineStr">
        <is>
          <t>SMK-12</t>
        </is>
      </c>
      <c r="B14" s="20" t="inlineStr">
        <is>
          <t>Notification prefs</t>
        </is>
      </c>
      <c r="C14" s="20" t="inlineStr">
        <is>
          <t>Free</t>
        </is>
      </c>
      <c r="D14" s="20" t="inlineStr">
        <is>
          <t>/app/settings/notifications</t>
        </is>
      </c>
      <c r="E14" s="20">
        <f>IFERROR(Environments!$B$3&amp;D14,D14)</f>
        <v/>
      </c>
      <c r="F14" s="20" t="inlineStr">
        <is>
          <t>Read honesty + save prefs</t>
        </is>
      </c>
      <c r="G14" s="20" t="inlineStr">
        <is>
          <t>Save succeeds</t>
        </is>
      </c>
      <c r="H14" s="20" t="inlineStr">
        <is>
          <t>Not Run</t>
        </is>
      </c>
    </row>
    <row r="15">
      <c r="A15" s="19" t="inlineStr">
        <is>
          <t>SMK-13</t>
        </is>
      </c>
      <c r="B15" s="19" t="inlineStr">
        <is>
          <t>Privacy analytics</t>
        </is>
      </c>
      <c r="C15" s="19" t="inlineStr">
        <is>
          <t>Free</t>
        </is>
      </c>
      <c r="D15" s="19" t="inlineStr">
        <is>
          <t>/app/settings/privacy</t>
        </is>
      </c>
      <c r="E15" s="19">
        <f>IFERROR(Environments!$B$3&amp;D15,D15)</f>
        <v/>
      </c>
      <c r="F15" s="19" t="inlineStr">
        <is>
          <t>Turn analytics off + save</t>
        </is>
      </c>
      <c r="G15" s="19" t="inlineStr">
        <is>
          <t>Opt-out applied</t>
        </is>
      </c>
      <c r="H15" s="19" t="inlineStr">
        <is>
          <t>Not Run</t>
        </is>
      </c>
    </row>
    <row r="16">
      <c r="A16" s="20" t="inlineStr">
        <is>
          <t>SMK-14</t>
        </is>
      </c>
      <c r="B16" s="20" t="inlineStr">
        <is>
          <t>Admin model costs</t>
        </is>
      </c>
      <c r="C16" s="20" t="inlineStr">
        <is>
          <t>Admin</t>
        </is>
      </c>
      <c r="D16" s="20" t="inlineStr">
        <is>
          <t>/app/admin/model-costs</t>
        </is>
      </c>
      <c r="E16" s="20">
        <f>IFERROR(Environments!$B$3&amp;D16,D16)</f>
        <v/>
      </c>
      <c r="F16" s="20" t="inlineStr">
        <is>
          <t>Open page</t>
        </is>
      </c>
      <c r="G16" s="20" t="inlineStr">
        <is>
          <t>Read-only costs; no fake Save</t>
        </is>
      </c>
      <c r="H16" s="20" t="inlineStr">
        <is>
          <t>Not Run</t>
        </is>
      </c>
    </row>
    <row r="17">
      <c r="A17" s="19" t="inlineStr">
        <is>
          <t>SMK-15</t>
        </is>
      </c>
      <c r="B17" s="19" t="inlineStr">
        <is>
          <t>Admin support→chat</t>
        </is>
      </c>
      <c r="C17" s="19" t="inlineStr">
        <is>
          <t>Admin</t>
        </is>
      </c>
      <c r="D17" s="19" t="inlineStr">
        <is>
          <t>/app/admin/support</t>
        </is>
      </c>
      <c r="E17" s="19">
        <f>IFERROR(Environments!$B$3&amp;D17,D17)</f>
        <v/>
      </c>
      <c r="F17" s="19" t="inlineStr">
        <is>
          <t>Click Live Chat</t>
        </is>
      </c>
      <c r="G17" s="19" t="inlineStr">
        <is>
          <t>Live Chat opens</t>
        </is>
      </c>
      <c r="H17" s="19" t="inlineStr">
        <is>
          <t>Not Run</t>
        </is>
      </c>
    </row>
    <row r="18">
      <c r="A18" s="20" t="inlineStr">
        <is>
          <t>SMK-16</t>
        </is>
      </c>
      <c r="B18" s="20" t="inlineStr">
        <is>
          <t>Admin QA local</t>
        </is>
      </c>
      <c r="C18" s="20" t="inlineStr">
        <is>
          <t>Admin</t>
        </is>
      </c>
      <c r="D18" s="20" t="inlineStr">
        <is>
          <t>/app/admin/qa-checklist</t>
        </is>
      </c>
      <c r="E18" s="20">
        <f>IFERROR(Environments!$B$3&amp;D18,D18)</f>
        <v/>
      </c>
      <c r="F18" s="20" t="inlineStr">
        <is>
          <t>Read banner</t>
        </is>
      </c>
      <c r="G18" s="20" t="inlineStr">
        <is>
          <t>Says local browser only</t>
        </is>
      </c>
      <c r="H18" s="20" t="inlineStr">
        <is>
          <t>Not Run</t>
        </is>
      </c>
    </row>
    <row r="19">
      <c r="A19" s="19" t="inlineStr">
        <is>
          <t>SMK-17</t>
        </is>
      </c>
      <c r="B19" s="19" t="inlineStr">
        <is>
          <t>Calendar blocked honesty</t>
        </is>
      </c>
      <c r="C19" s="19" t="inlineStr">
        <is>
          <t>Pro</t>
        </is>
      </c>
      <c r="D19" s="19" t="inlineStr">
        <is>
          <t>/app/settings/integrations</t>
        </is>
      </c>
      <c r="E19" s="19">
        <f>IFERROR(Environments!$B$3&amp;D19,D19)</f>
        <v/>
      </c>
      <c r="F19" s="19" t="inlineStr">
        <is>
          <t>Try sync without secrets</t>
        </is>
      </c>
      <c r="G19" s="19" t="inlineStr">
        <is>
          <t>501/blocked — not silently ok</t>
        </is>
      </c>
      <c r="H19" s="19" t="inlineStr">
        <is>
          <t>Not Run</t>
        </is>
      </c>
    </row>
    <row r="20">
      <c r="A20" s="20" t="inlineStr">
        <is>
          <t>SMK-18</t>
        </is>
      </c>
      <c r="B20" s="20" t="inlineStr">
        <is>
          <t>Company research gate</t>
        </is>
      </c>
      <c r="C20" s="20" t="inlineStr">
        <is>
          <t>Free</t>
        </is>
      </c>
      <c r="D20" s="20" t="inlineStr">
        <is>
          <t>/app/companies</t>
        </is>
      </c>
      <c r="E20" s="20">
        <f>IFERROR(Environments!$B$3&amp;D20,D20)</f>
        <v/>
      </c>
      <c r="F20" s="20" t="inlineStr">
        <is>
          <t>Try generate</t>
        </is>
      </c>
      <c r="G20" s="20" t="inlineStr">
        <is>
          <t>Upgrade / plan gate</t>
        </is>
      </c>
      <c r="H20" s="20" t="inlineStr">
        <is>
          <t>Not Run</t>
        </is>
      </c>
    </row>
    <row r="21">
      <c r="A21" s="19" t="inlineStr">
        <is>
          <t>SMK-19</t>
        </is>
      </c>
      <c r="B21" s="19" t="inlineStr">
        <is>
          <t>Interview Day</t>
        </is>
      </c>
      <c r="C21" s="19" t="inlineStr">
        <is>
          <t>Free</t>
        </is>
      </c>
      <c r="D21" s="19" t="inlineStr">
        <is>
          <t>/app/interview-day</t>
        </is>
      </c>
      <c r="E21" s="19">
        <f>IFERROR(Environments!$B$3&amp;D21,D21)</f>
        <v/>
      </c>
      <c r="F21" s="19" t="inlineStr">
        <is>
          <t>Open with upcoming</t>
        </is>
      </c>
      <c r="G21" s="19" t="inlineStr">
        <is>
          <t>Date/round correct</t>
        </is>
      </c>
      <c r="H21" s="19" t="inlineStr">
        <is>
          <t>Not Run</t>
        </is>
      </c>
    </row>
    <row r="22">
      <c r="A22" s="20" t="inlineStr">
        <is>
          <t>SMK-20</t>
        </is>
      </c>
      <c r="B22" s="20" t="inlineStr">
        <is>
          <t>Electron boot</t>
        </is>
      </c>
      <c r="C22" s="20" t="inlineStr">
        <is>
          <t>Pro</t>
        </is>
      </c>
      <c r="D22" s="20" t="inlineStr">
        <is>
          <t>(desktop)</t>
        </is>
      </c>
      <c r="E22" s="20">
        <f>IFERROR(Environments!$B$3&amp;D22,D22)</f>
        <v/>
      </c>
      <c r="F22" s="20" t="inlineStr">
        <is>
          <t>Launch unsigned build</t>
        </is>
      </c>
      <c r="G22" s="20" t="inlineStr">
        <is>
          <t>App boots; SmartScreen may warn</t>
        </is>
      </c>
      <c r="H22" s="20" t="inlineStr">
        <is>
          <t>Not Run</t>
        </is>
      </c>
    </row>
  </sheetData>
  <autoFilter ref="A2:H22"/>
  <mergeCells count="1">
    <mergeCell ref="A1:H1"/>
  </mergeCells>
  <conditionalFormatting sqref="H3:H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1">
    <dataValidation sqref="H3:H5000" showDropDown="0" showInputMessage="0" showErrorMessage="0" allowBlank="1" errorTitle="Invalid" error="Pick a value from the list" type="list">
      <formula1>Lists!$B$2:$B$7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4" customWidth="1" min="3" max="3"/>
    <col width="19" customWidth="1" min="4" max="4"/>
    <col width="32" customWidth="1" min="5" max="5"/>
    <col width="36" customWidth="1" min="6" max="6"/>
    <col width="36" customWidth="1" min="7" max="7"/>
    <col width="36" customWidth="1" min="8" max="8"/>
    <col width="19" customWidth="1" min="9" max="9"/>
    <col width="12" customWidth="1" min="10" max="10"/>
    <col width="12" customWidth="1" min="11" max="11"/>
  </cols>
  <sheetData>
    <row r="1">
      <c r="A1" s="1" t="inlineStr">
        <is>
          <t>QA Team Roster — Clarify AI</t>
        </is>
      </c>
    </row>
    <row r="2">
      <c r="A2" s="18" t="inlineStr">
        <is>
          <t>QA Person</t>
        </is>
      </c>
      <c r="B2" s="18" t="inlineStr">
        <is>
          <t>Role</t>
        </is>
      </c>
      <c r="C2" s="18" t="inlineStr">
        <is>
          <t>Email</t>
        </is>
      </c>
      <c r="D2" s="18" t="inlineStr">
        <is>
          <t>Capacity Hrs/Week</t>
        </is>
      </c>
      <c r="E2" s="18" t="inlineStr">
        <is>
          <t>Skills Focus</t>
        </is>
      </c>
      <c r="F2" s="18" t="inlineStr">
        <is>
          <t>Assigned Cases</t>
        </is>
      </c>
      <c r="G2" s="18" t="inlineStr">
        <is>
          <t>Est Hours Assigned</t>
        </is>
      </c>
      <c r="H2" s="18" t="inlineStr">
        <is>
          <t>Actual Hours Logged</t>
        </is>
      </c>
      <c r="I2" s="18" t="inlineStr">
        <is>
          <t>Utilization %</t>
        </is>
      </c>
      <c r="J2" s="18" t="inlineStr">
        <is>
          <t>Status</t>
        </is>
      </c>
      <c r="K2" s="18" t="inlineStr">
        <is>
          <t>Remarks</t>
        </is>
      </c>
    </row>
    <row r="3">
      <c r="A3" s="19" t="inlineStr">
        <is>
          <t>Kavya Iyer</t>
        </is>
      </c>
      <c r="B3" s="19" t="inlineStr">
        <is>
          <t>QA Lead</t>
        </is>
      </c>
      <c r="C3" s="19" t="inlineStr">
        <is>
          <t>kavya.iyer@clarify.ai</t>
        </is>
      </c>
      <c r="D3" s="19" t="n">
        <v>40</v>
      </c>
      <c r="E3" s="19" t="inlineStr">
        <is>
          <t>Sign-off, regression, UAT</t>
        </is>
      </c>
      <c r="F3" s="19">
        <f>COUNTIF('04 Test Case Repository'!S$3:S$5000,A3)</f>
        <v/>
      </c>
      <c r="G3" s="19">
        <f>SUMIF('04 Test Case Repository'!S$3:S$5000,A3,'04 Test Case Repository'!T$3:T$5000)</f>
        <v/>
      </c>
      <c r="H3" s="19">
        <f>SUMIF('04 Test Case Repository'!S$3:S$5000,A3,'04 Test Case Repository'!U$3:U$5000)</f>
        <v/>
      </c>
      <c r="I3" s="25">
        <f>IFERROR(H3/D3,0)</f>
        <v/>
      </c>
      <c r="J3" s="19" t="inlineStr">
        <is>
          <t>Active</t>
        </is>
      </c>
      <c r="K3" s="19" t="inlineStr"/>
    </row>
    <row r="4">
      <c r="A4" s="20" t="inlineStr">
        <is>
          <t>Asha Sharma</t>
        </is>
      </c>
      <c r="B4" s="20" t="inlineStr">
        <is>
          <t>Senior QA</t>
        </is>
      </c>
      <c r="C4" s="20" t="inlineStr">
        <is>
          <t>asha.sharma@clarify.ai</t>
        </is>
      </c>
      <c r="D4" s="20" t="n">
        <v>40</v>
      </c>
      <c r="E4" s="20" t="inlineStr">
        <is>
          <t>Billing, auth, API</t>
        </is>
      </c>
      <c r="F4" s="20">
        <f>COUNTIF('04 Test Case Repository'!S$3:S$5000,A4)</f>
        <v/>
      </c>
      <c r="G4" s="20">
        <f>SUMIF('04 Test Case Repository'!S$3:S$5000,A4,'04 Test Case Repository'!T$3:T$5000)</f>
        <v/>
      </c>
      <c r="H4" s="20">
        <f>SUMIF('04 Test Case Repository'!S$3:S$5000,A4,'04 Test Case Repository'!U$3:U$5000)</f>
        <v/>
      </c>
      <c r="I4" s="26">
        <f>IFERROR(H4/D4,0)</f>
        <v/>
      </c>
      <c r="J4" s="20" t="inlineStr">
        <is>
          <t>Active</t>
        </is>
      </c>
      <c r="K4" s="20" t="inlineStr"/>
    </row>
    <row r="5">
      <c r="A5" s="19" t="inlineStr">
        <is>
          <t>Rohan Mehta</t>
        </is>
      </c>
      <c r="B5" s="19" t="inlineStr">
        <is>
          <t>QA Engineer</t>
        </is>
      </c>
      <c r="C5" s="19" t="inlineStr">
        <is>
          <t>rohan.mehta@clarify.ai</t>
        </is>
      </c>
      <c r="D5" s="19" t="n">
        <v>40</v>
      </c>
      <c r="E5" s="19" t="inlineStr">
        <is>
          <t>Gov exams, mobile, admin</t>
        </is>
      </c>
      <c r="F5" s="19">
        <f>COUNTIF('04 Test Case Repository'!S$3:S$5000,A5)</f>
        <v/>
      </c>
      <c r="G5" s="19">
        <f>SUMIF('04 Test Case Repository'!S$3:S$5000,A5,'04 Test Case Repository'!T$3:T$5000)</f>
        <v/>
      </c>
      <c r="H5" s="19">
        <f>SUMIF('04 Test Case Repository'!S$3:S$5000,A5,'04 Test Case Repository'!U$3:U$5000)</f>
        <v/>
      </c>
      <c r="I5" s="25">
        <f>IFERROR(H5/D5,0)</f>
        <v/>
      </c>
      <c r="J5" s="19" t="inlineStr">
        <is>
          <t>Active</t>
        </is>
      </c>
      <c r="K5" s="19" t="inlineStr"/>
    </row>
    <row r="6">
      <c r="A6" s="20" t="inlineStr">
        <is>
          <t>Priya Nair</t>
        </is>
      </c>
      <c r="B6" s="20" t="inlineStr">
        <is>
          <t>QA Engineer</t>
        </is>
      </c>
      <c r="C6" s="20" t="inlineStr">
        <is>
          <t>priya.nair@clarify.ai</t>
        </is>
      </c>
      <c r="D6" s="20" t="n">
        <v>40</v>
      </c>
      <c r="E6" s="20" t="inlineStr">
        <is>
          <t>Live coach, documents, E2E</t>
        </is>
      </c>
      <c r="F6" s="20">
        <f>COUNTIF('04 Test Case Repository'!S$3:S$5000,A6)</f>
        <v/>
      </c>
      <c r="G6" s="20">
        <f>SUMIF('04 Test Case Repository'!S$3:S$5000,A6,'04 Test Case Repository'!T$3:T$5000)</f>
        <v/>
      </c>
      <c r="H6" s="20">
        <f>SUMIF('04 Test Case Repository'!S$3:S$5000,A6,'04 Test Case Repository'!U$3:U$5000)</f>
        <v/>
      </c>
      <c r="I6" s="26">
        <f>IFERROR(H6/D6,0)</f>
        <v/>
      </c>
      <c r="J6" s="20" t="inlineStr">
        <is>
          <t>Active</t>
        </is>
      </c>
      <c r="K6" s="20" t="inlineStr"/>
    </row>
    <row r="7">
      <c r="A7" s="19" t="inlineStr">
        <is>
          <t>Dev Patel</t>
        </is>
      </c>
      <c r="B7" s="19" t="inlineStr">
        <is>
          <t>SDET</t>
        </is>
      </c>
      <c r="C7" s="19" t="inlineStr">
        <is>
          <t>dev.patel@clarify.ai</t>
        </is>
      </c>
      <c r="D7" s="19" t="n">
        <v>40</v>
      </c>
      <c r="E7" s="19" t="inlineStr">
        <is>
          <t>Automation, webhooks, Electron</t>
        </is>
      </c>
      <c r="F7" s="19">
        <f>COUNTIF('04 Test Case Repository'!S$3:S$5000,A7)</f>
        <v/>
      </c>
      <c r="G7" s="19">
        <f>SUMIF('04 Test Case Repository'!S$3:S$5000,A7,'04 Test Case Repository'!T$3:T$5000)</f>
        <v/>
      </c>
      <c r="H7" s="19">
        <f>SUMIF('04 Test Case Repository'!S$3:S$5000,A7,'04 Test Case Repository'!U$3:U$5000)</f>
        <v/>
      </c>
      <c r="I7" s="25">
        <f>IFERROR(H7/D7,0)</f>
        <v/>
      </c>
      <c r="J7" s="19" t="inlineStr">
        <is>
          <t>Active</t>
        </is>
      </c>
      <c r="K7" s="19" t="inlineStr"/>
    </row>
    <row r="8">
      <c r="A8" s="24" t="inlineStr">
        <is>
          <t>TOTAL</t>
        </is>
      </c>
      <c r="B8" s="24" t="n"/>
      <c r="C8" s="24" t="n"/>
      <c r="D8" s="24">
        <f>SUM(D3:D7)</f>
        <v/>
      </c>
      <c r="E8" s="24" t="n"/>
      <c r="F8" s="24">
        <f>SUM(F3:F7)</f>
        <v/>
      </c>
      <c r="G8" s="24">
        <f>SUM(G3:G7)</f>
        <v/>
      </c>
      <c r="H8" s="24">
        <f>SUM(H3:H7)</f>
        <v/>
      </c>
      <c r="I8" s="29">
        <f>IFERROR(H8/D8,0)</f>
        <v/>
      </c>
      <c r="J8" s="24" t="n"/>
      <c r="K8" s="24" t="n"/>
    </row>
  </sheetData>
  <autoFilter ref="A2:K8"/>
  <mergeCells count="1">
    <mergeCell ref="A1:H1"/>
  </mergeCells>
  <dataValidations count="1">
    <dataValidation sqref="J3:J50" showDropDown="0" showInputMessage="0" showErrorMessage="0" allowBlank="1" errorTitle="Invalid" error="Pick a value from the list" type="list">
      <formula1>Lists!$A$2:$A$9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4" customWidth="1" min="9" max="9"/>
    <col width="21" customWidth="1" min="10" max="10"/>
  </cols>
  <sheetData>
    <row r="1">
      <c r="A1" s="1" t="inlineStr">
        <is>
          <t>Daily Progress Log (feeds Dashboard chart)</t>
        </is>
      </c>
    </row>
    <row r="2">
      <c r="A2" s="18" t="inlineStr">
        <is>
          <t>Date</t>
        </is>
      </c>
      <c r="B2" s="18" t="inlineStr">
        <is>
          <t>QA Person</t>
        </is>
      </c>
      <c r="C2" s="18" t="inlineStr">
        <is>
          <t>Cases Executed</t>
        </is>
      </c>
      <c r="D2" s="18" t="inlineStr">
        <is>
          <t>Passed</t>
        </is>
      </c>
      <c r="E2" s="18" t="inlineStr">
        <is>
          <t>Failed</t>
        </is>
      </c>
      <c r="F2" s="18" t="inlineStr">
        <is>
          <t>Blocked</t>
        </is>
      </c>
      <c r="G2" s="18" t="inlineStr">
        <is>
          <t>Bugs Opened</t>
        </is>
      </c>
      <c r="H2" s="18" t="inlineStr">
        <is>
          <t>Bugs Closed</t>
        </is>
      </c>
      <c r="I2" s="18" t="inlineStr">
        <is>
          <t>Hours Logged</t>
        </is>
      </c>
      <c r="J2" s="18" t="inlineStr">
        <is>
          <t>Remarks</t>
        </is>
      </c>
    </row>
    <row r="3">
      <c r="A3" s="22" t="n">
        <v>46226</v>
      </c>
      <c r="B3" s="19" t="inlineStr">
        <is>
          <t>Asha Sharma</t>
        </is>
      </c>
      <c r="C3" s="19" t="n">
        <v>8</v>
      </c>
      <c r="D3" s="19" t="n">
        <v>6</v>
      </c>
      <c r="E3" s="19" t="n">
        <v>1</v>
      </c>
      <c r="F3" s="19" t="n">
        <v>0</v>
      </c>
      <c r="G3" s="19" t="n">
        <v>1</v>
      </c>
      <c r="H3" s="19" t="n">
        <v>0</v>
      </c>
      <c r="I3" s="19" t="n">
        <v>4.5</v>
      </c>
      <c r="J3" s="19" t="inlineStr">
        <is>
          <t>Sprint 26 execution</t>
        </is>
      </c>
    </row>
    <row r="4">
      <c r="A4" s="23" t="n">
        <v>46227</v>
      </c>
      <c r="B4" s="20" t="inlineStr">
        <is>
          <t>Priya Nair</t>
        </is>
      </c>
      <c r="C4" s="20" t="n">
        <v>10</v>
      </c>
      <c r="D4" s="20" t="n">
        <v>7</v>
      </c>
      <c r="E4" s="20" t="n">
        <v>0</v>
      </c>
      <c r="F4" s="20" t="n">
        <v>0</v>
      </c>
      <c r="G4" s="20" t="n">
        <v>0</v>
      </c>
      <c r="H4" s="20" t="n">
        <v>0</v>
      </c>
      <c r="I4" s="20" t="n">
        <v>5</v>
      </c>
      <c r="J4" s="20" t="inlineStr">
        <is>
          <t>Sprint 26 execution</t>
        </is>
      </c>
    </row>
    <row r="5">
      <c r="A5" s="22" t="n">
        <v>46228</v>
      </c>
      <c r="B5" s="19" t="inlineStr">
        <is>
          <t>Rohan Mehta</t>
        </is>
      </c>
      <c r="C5" s="19" t="n">
        <v>12</v>
      </c>
      <c r="D5" s="19" t="n">
        <v>8</v>
      </c>
      <c r="E5" s="19" t="n">
        <v>0</v>
      </c>
      <c r="F5" s="19" t="n">
        <v>0</v>
      </c>
      <c r="G5" s="19" t="n">
        <v>1</v>
      </c>
      <c r="H5" s="19" t="n">
        <v>0</v>
      </c>
      <c r="I5" s="19" t="n">
        <v>5.5</v>
      </c>
      <c r="J5" s="19" t="inlineStr">
        <is>
          <t>Sprint 26 execution</t>
        </is>
      </c>
    </row>
    <row r="6">
      <c r="A6" s="23" t="n">
        <v>46229</v>
      </c>
      <c r="B6" s="20" t="inlineStr">
        <is>
          <t>Dev Patel</t>
        </is>
      </c>
      <c r="C6" s="20" t="n">
        <v>14</v>
      </c>
      <c r="D6" s="20" t="n">
        <v>9</v>
      </c>
      <c r="E6" s="20" t="n">
        <v>1</v>
      </c>
      <c r="F6" s="20" t="n">
        <v>0</v>
      </c>
      <c r="G6" s="20" t="n">
        <v>0</v>
      </c>
      <c r="H6" s="20" t="n">
        <v>0</v>
      </c>
      <c r="I6" s="20" t="n">
        <v>6</v>
      </c>
      <c r="J6" s="20" t="inlineStr">
        <is>
          <t>Sprint 26 execution</t>
        </is>
      </c>
    </row>
    <row r="7">
      <c r="A7" s="22" t="n">
        <v>46230</v>
      </c>
      <c r="B7" s="19" t="inlineStr">
        <is>
          <t>Kavya Iyer</t>
        </is>
      </c>
      <c r="C7" s="19" t="n">
        <v>16</v>
      </c>
      <c r="D7" s="19" t="n">
        <v>10</v>
      </c>
      <c r="E7" s="19" t="n">
        <v>0</v>
      </c>
      <c r="F7" s="19" t="n">
        <v>1</v>
      </c>
      <c r="G7" s="19" t="n">
        <v>1</v>
      </c>
      <c r="H7" s="19" t="n">
        <v>1</v>
      </c>
      <c r="I7" s="19" t="n">
        <v>6.5</v>
      </c>
      <c r="J7" s="19" t="inlineStr">
        <is>
          <t>Sprint 26 execution</t>
        </is>
      </c>
    </row>
    <row r="8">
      <c r="A8" s="23" t="n">
        <v>46231</v>
      </c>
      <c r="B8" s="20" t="inlineStr">
        <is>
          <t>Asha Sharma</t>
        </is>
      </c>
      <c r="C8" s="20" t="n">
        <v>18</v>
      </c>
      <c r="D8" s="20" t="n">
        <v>11</v>
      </c>
      <c r="E8" s="20" t="n">
        <v>0</v>
      </c>
      <c r="F8" s="20" t="n">
        <v>0</v>
      </c>
      <c r="G8" s="20" t="n">
        <v>0</v>
      </c>
      <c r="H8" s="20" t="n">
        <v>1</v>
      </c>
      <c r="I8" s="20" t="n">
        <v>7</v>
      </c>
      <c r="J8" s="20" t="inlineStr">
        <is>
          <t>Sprint 26 execution</t>
        </is>
      </c>
    </row>
    <row r="9">
      <c r="A9" s="22" t="n">
        <v>46232</v>
      </c>
      <c r="B9" s="19" t="inlineStr">
        <is>
          <t>Priya Nair</t>
        </is>
      </c>
      <c r="C9" s="19" t="n">
        <v>20</v>
      </c>
      <c r="D9" s="19" t="n">
        <v>12</v>
      </c>
      <c r="E9" s="19" t="n">
        <v>1</v>
      </c>
      <c r="F9" s="19" t="n">
        <v>0</v>
      </c>
      <c r="G9" s="19" t="n">
        <v>1</v>
      </c>
      <c r="H9" s="19" t="n">
        <v>1</v>
      </c>
      <c r="I9" s="19" t="n">
        <v>7.5</v>
      </c>
      <c r="J9" s="19" t="inlineStr">
        <is>
          <t>Sprint 26 execution</t>
        </is>
      </c>
    </row>
    <row r="10">
      <c r="A10" s="30" t="inlineStr">
        <is>
          <t>TOTAL</t>
        </is>
      </c>
      <c r="B10" s="20" t="n"/>
      <c r="C10" s="30">
        <f>SUM(C3:C9)</f>
        <v/>
      </c>
      <c r="D10" s="30">
        <f>SUM(D3:D9)</f>
        <v/>
      </c>
      <c r="E10" s="30">
        <f>SUM(E3:E9)</f>
        <v/>
      </c>
      <c r="F10" s="30">
        <f>SUM(F3:F9)</f>
        <v/>
      </c>
      <c r="G10" s="30">
        <f>SUM(G3:G9)</f>
        <v/>
      </c>
      <c r="H10" s="30">
        <f>SUM(H3:H9)</f>
        <v/>
      </c>
      <c r="I10" s="30">
        <f>SUM(I3:I9)</f>
        <v/>
      </c>
      <c r="J10" s="20" t="n"/>
    </row>
  </sheetData>
  <autoFilter ref="A2:J10"/>
  <mergeCells count="1">
    <mergeCell ref="A1:H1"/>
  </mergeCells>
  <dataValidations count="1">
    <dataValidation sqref="B3:B5000" showDropDown="0" showInputMessage="0" showErrorMessage="0" allowBlank="1" errorTitle="Invalid" error="Pick a value from the list" type="list">
      <formula1>Lists!$AC$2:$AC$6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6" customWidth="1" min="15" max="15"/>
    <col width="14" customWidth="1" min="16" max="16"/>
    <col width="16" customWidth="1" min="17" max="17"/>
    <col width="14" customWidth="1" min="18" max="18"/>
    <col width="14" customWidth="1" min="19" max="19"/>
    <col width="14" customWidth="1" min="20" max="20"/>
    <col width="14" customWidth="1" min="21" max="21"/>
    <col width="16" customWidth="1" min="22" max="22"/>
    <col width="14" customWidth="1" min="23" max="23"/>
    <col width="14" customWidth="1" min="24" max="24"/>
    <col width="20" customWidth="1" min="25" max="25"/>
    <col width="26" customWidth="1" min="26" max="26"/>
    <col width="18" customWidth="1" min="27" max="27"/>
    <col width="14" customWidth="1" min="28" max="28"/>
    <col width="14" customWidth="1" min="29" max="29"/>
    <col width="14" customWidth="1" min="30" max="30"/>
    <col width="19" customWidth="1" min="31" max="31"/>
    <col width="14" customWidth="1" min="32" max="32"/>
    <col width="14" customWidth="1" min="33" max="33"/>
  </cols>
  <sheetData>
    <row r="1">
      <c r="A1" s="27" t="inlineStr">
        <is>
          <t>Status</t>
        </is>
      </c>
      <c r="B1" s="27" t="inlineStr">
        <is>
          <t>PassFail</t>
        </is>
      </c>
      <c r="C1" s="27" t="inlineStr">
        <is>
          <t>Priority</t>
        </is>
      </c>
      <c r="D1" s="27" t="inlineStr">
        <is>
          <t>Severity</t>
        </is>
      </c>
      <c r="E1" s="27" t="inlineStr">
        <is>
          <t>Environment</t>
        </is>
      </c>
      <c r="F1" s="27" t="inlineStr">
        <is>
          <t>Browser</t>
        </is>
      </c>
      <c r="G1" s="27" t="inlineStr">
        <is>
          <t>Device</t>
        </is>
      </c>
      <c r="H1" s="27" t="inlineStr">
        <is>
          <t>Platform</t>
        </is>
      </c>
      <c r="I1" s="27" t="inlineStr">
        <is>
          <t>YesNo</t>
        </is>
      </c>
      <c r="J1" s="27" t="inlineStr">
        <is>
          <t>QAStatus</t>
        </is>
      </c>
      <c r="K1" s="27" t="inlineStr">
        <is>
          <t>BugStatus</t>
        </is>
      </c>
      <c r="L1" s="27" t="inlineStr">
        <is>
          <t>Risk</t>
        </is>
      </c>
      <c r="M1" s="27" t="inlineStr">
        <is>
          <t>Criticality</t>
        </is>
      </c>
      <c r="N1" s="27" t="inlineStr">
        <is>
          <t>Automation</t>
        </is>
      </c>
      <c r="O1" s="27" t="inlineStr">
        <is>
          <t>SecurityResult</t>
        </is>
      </c>
      <c r="P1" s="27" t="inlineStr">
        <is>
          <t>ReadyStatus</t>
        </is>
      </c>
      <c r="Q1" s="27" t="inlineStr">
        <is>
          <t>Decision</t>
        </is>
      </c>
      <c r="R1" s="27" t="inlineStr">
        <is>
          <t>Approval</t>
        </is>
      </c>
      <c r="S1" s="27" t="inlineStr">
        <is>
          <t>PerfRating</t>
        </is>
      </c>
      <c r="T1" s="27" t="inlineStr">
        <is>
          <t>HttpMethod</t>
        </is>
      </c>
      <c r="U1" s="27" t="inlineStr">
        <is>
          <t>StatusCode</t>
        </is>
      </c>
      <c r="V1" s="27" t="inlineStr">
        <is>
          <t>AuthType</t>
        </is>
      </c>
      <c r="W1" s="27" t="inlineStr">
        <is>
          <t>Sprint</t>
        </is>
      </c>
      <c r="X1" s="27" t="inlineStr">
        <is>
          <t>Release</t>
        </is>
      </c>
      <c r="Y1" s="27" t="inlineStr">
        <is>
          <t>RootCause</t>
        </is>
      </c>
      <c r="Z1" s="27" t="inlineStr">
        <is>
          <t>Modules</t>
        </is>
      </c>
      <c r="AA1" s="27" t="inlineStr">
        <is>
          <t>Portals</t>
        </is>
      </c>
      <c r="AB1" s="27" t="inlineStr">
        <is>
          <t>Roles</t>
        </is>
      </c>
      <c r="AC1" s="27" t="inlineStr">
        <is>
          <t>Testers</t>
        </is>
      </c>
      <c r="AD1" s="27" t="inlineStr">
        <is>
          <t>Owners</t>
        </is>
      </c>
      <c r="AE1" s="27" t="inlineStr">
        <is>
          <t>ImplStatus</t>
        </is>
      </c>
      <c r="AF1" s="27" t="inlineStr">
        <is>
          <t>Coverage</t>
        </is>
      </c>
      <c r="AG1" s="27" t="inlineStr">
        <is>
          <t>ModuleStatus</t>
        </is>
      </c>
    </row>
    <row r="2">
      <c r="A2" t="inlineStr">
        <is>
          <t>Not Started</t>
        </is>
      </c>
      <c r="B2" t="inlineStr">
        <is>
          <t>Pass</t>
        </is>
      </c>
      <c r="C2" t="inlineStr">
        <is>
          <t>Critical</t>
        </is>
      </c>
      <c r="D2" t="inlineStr">
        <is>
          <t>Critical</t>
        </is>
      </c>
      <c r="E2" t="inlineStr">
        <is>
          <t>Local</t>
        </is>
      </c>
      <c r="F2" t="inlineStr">
        <is>
          <t>Chrome</t>
        </is>
      </c>
      <c r="G2" t="inlineStr">
        <is>
          <t>Desktop</t>
        </is>
      </c>
      <c r="H2" t="inlineStr">
        <is>
          <t>Web</t>
        </is>
      </c>
      <c r="I2" t="inlineStr">
        <is>
          <t>Yes</t>
        </is>
      </c>
      <c r="J2" t="inlineStr">
        <is>
          <t>Not Tested</t>
        </is>
      </c>
      <c r="K2" t="inlineStr">
        <is>
          <t>New</t>
        </is>
      </c>
      <c r="L2" t="inlineStr">
        <is>
          <t>Critical</t>
        </is>
      </c>
      <c r="M2" t="inlineStr">
        <is>
          <t>Critical</t>
        </is>
      </c>
      <c r="N2" t="inlineStr">
        <is>
          <t>Manual</t>
        </is>
      </c>
      <c r="O2" t="inlineStr">
        <is>
          <t>Pass</t>
        </is>
      </c>
      <c r="P2" t="inlineStr">
        <is>
          <t>Ready</t>
        </is>
      </c>
      <c r="Q2" t="inlineStr">
        <is>
          <t>Go</t>
        </is>
      </c>
      <c r="R2" t="inlineStr">
        <is>
          <t>Approved</t>
        </is>
      </c>
      <c r="S2" t="inlineStr">
        <is>
          <t>Excellent</t>
        </is>
      </c>
      <c r="T2" t="inlineStr">
        <is>
          <t>GET</t>
        </is>
      </c>
      <c r="U2" t="inlineStr">
        <is>
          <t>200</t>
        </is>
      </c>
      <c r="V2" t="inlineStr">
        <is>
          <t>None</t>
        </is>
      </c>
      <c r="W2" t="inlineStr">
        <is>
          <t>Sprint 24</t>
        </is>
      </c>
      <c r="X2" t="inlineStr">
        <is>
          <t>1.0.0-beta</t>
        </is>
      </c>
      <c r="Y2" t="inlineStr">
        <is>
          <t>Logic Bug</t>
        </is>
      </c>
      <c r="Z2" t="inlineStr">
        <is>
          <t>Auth &amp; Onboarding</t>
        </is>
      </c>
      <c r="AA2" t="inlineStr">
        <is>
          <t>Marketing Portal</t>
        </is>
      </c>
      <c r="AB2" t="inlineStr">
        <is>
          <t>Guest</t>
        </is>
      </c>
      <c r="AC2" t="inlineStr">
        <is>
          <t>Kavya Iyer</t>
        </is>
      </c>
      <c r="AD2" t="inlineStr">
        <is>
          <t>Auth Lead</t>
        </is>
      </c>
      <c r="AE2" t="inlineStr">
        <is>
          <t>Fully Implemented</t>
        </is>
      </c>
      <c r="AF2" t="inlineStr">
        <is>
          <t>Yes</t>
        </is>
      </c>
      <c r="AG2" t="inlineStr">
        <is>
          <t>Not Started</t>
        </is>
      </c>
    </row>
    <row r="3">
      <c r="A3" t="inlineStr">
        <is>
          <t>In Progress</t>
        </is>
      </c>
      <c r="B3" t="inlineStr">
        <is>
          <t>Fail</t>
        </is>
      </c>
      <c r="C3" t="inlineStr">
        <is>
          <t>High</t>
        </is>
      </c>
      <c r="D3" t="inlineStr">
        <is>
          <t>High</t>
        </is>
      </c>
      <c r="E3" t="inlineStr">
        <is>
          <t>Staging</t>
        </is>
      </c>
      <c r="F3" t="inlineStr">
        <is>
          <t>Edge</t>
        </is>
      </c>
      <c r="G3" t="inlineStr">
        <is>
          <t>Laptop</t>
        </is>
      </c>
      <c r="H3" t="inlineStr">
        <is>
          <t>Windows</t>
        </is>
      </c>
      <c r="I3" t="inlineStr">
        <is>
          <t>No</t>
        </is>
      </c>
      <c r="J3" t="inlineStr">
        <is>
          <t>In Testing</t>
        </is>
      </c>
      <c r="K3" t="inlineStr">
        <is>
          <t>Open</t>
        </is>
      </c>
      <c r="L3" t="inlineStr">
        <is>
          <t>High</t>
        </is>
      </c>
      <c r="M3" t="inlineStr">
        <is>
          <t>High</t>
        </is>
      </c>
      <c r="N3" t="inlineStr">
        <is>
          <t>Automated</t>
        </is>
      </c>
      <c r="O3" t="inlineStr">
        <is>
          <t>Fail</t>
        </is>
      </c>
      <c r="P3" t="inlineStr">
        <is>
          <t>Not Ready</t>
        </is>
      </c>
      <c r="Q3" t="inlineStr">
        <is>
          <t>No-Go</t>
        </is>
      </c>
      <c r="R3" t="inlineStr">
        <is>
          <t>Pending</t>
        </is>
      </c>
      <c r="S3" t="inlineStr">
        <is>
          <t>Good</t>
        </is>
      </c>
      <c r="T3" t="inlineStr">
        <is>
          <t>POST</t>
        </is>
      </c>
      <c r="U3" t="inlineStr">
        <is>
          <t>201</t>
        </is>
      </c>
      <c r="V3" t="inlineStr">
        <is>
          <t>Bearer JWT</t>
        </is>
      </c>
      <c r="W3" t="inlineStr">
        <is>
          <t>Sprint 25</t>
        </is>
      </c>
      <c r="X3" t="inlineStr">
        <is>
          <t>1.0.0</t>
        </is>
      </c>
      <c r="Y3" t="inlineStr">
        <is>
          <t>Missing Validation</t>
        </is>
      </c>
      <c r="Z3" t="inlineStr">
        <is>
          <t>Dashboard</t>
        </is>
      </c>
      <c r="AA3" t="inlineStr">
        <is>
          <t>Auth Portal</t>
        </is>
      </c>
      <c r="AB3" t="inlineStr">
        <is>
          <t>Free User</t>
        </is>
      </c>
      <c r="AC3" t="inlineStr">
        <is>
          <t>Asha Sharma</t>
        </is>
      </c>
      <c r="AD3" t="inlineStr">
        <is>
          <t>Product</t>
        </is>
      </c>
      <c r="AE3" t="inlineStr">
        <is>
          <t>Partial</t>
        </is>
      </c>
      <c r="AF3" t="inlineStr">
        <is>
          <t>No</t>
        </is>
      </c>
      <c r="AG3" t="inlineStr">
        <is>
          <t>In Progress</t>
        </is>
      </c>
    </row>
    <row r="4">
      <c r="A4" t="inlineStr">
        <is>
          <t>Completed</t>
        </is>
      </c>
      <c r="B4" t="inlineStr">
        <is>
          <t>Blocked</t>
        </is>
      </c>
      <c r="C4" t="inlineStr">
        <is>
          <t>Medium</t>
        </is>
      </c>
      <c r="D4" t="inlineStr">
        <is>
          <t>Medium</t>
        </is>
      </c>
      <c r="E4" t="inlineStr">
        <is>
          <t>Production</t>
        </is>
      </c>
      <c r="F4" t="inlineStr">
        <is>
          <t>Firefox</t>
        </is>
      </c>
      <c r="G4" t="inlineStr">
        <is>
          <t>iPhone</t>
        </is>
      </c>
      <c r="H4" t="inlineStr">
        <is>
          <t>macOS</t>
        </is>
      </c>
      <c r="I4" t="inlineStr">
        <is>
          <t>Partial</t>
        </is>
      </c>
      <c r="J4" t="inlineStr">
        <is>
          <t>Passed</t>
        </is>
      </c>
      <c r="K4" t="inlineStr">
        <is>
          <t>In Progress</t>
        </is>
      </c>
      <c r="L4" t="inlineStr">
        <is>
          <t>Medium</t>
        </is>
      </c>
      <c r="M4" t="inlineStr">
        <is>
          <t>Medium</t>
        </is>
      </c>
      <c r="N4" t="inlineStr">
        <is>
          <t>Candidate</t>
        </is>
      </c>
      <c r="O4" t="inlineStr">
        <is>
          <t>Partial</t>
        </is>
      </c>
      <c r="P4" t="inlineStr">
        <is>
          <t>Conditional</t>
        </is>
      </c>
      <c r="Q4" t="inlineStr">
        <is>
          <t>Conditional Go</t>
        </is>
      </c>
      <c r="R4" t="inlineStr">
        <is>
          <t>Rejected</t>
        </is>
      </c>
      <c r="S4" t="inlineStr">
        <is>
          <t>Acceptable</t>
        </is>
      </c>
      <c r="T4" t="inlineStr">
        <is>
          <t>PUT</t>
        </is>
      </c>
      <c r="U4" t="inlineStr">
        <is>
          <t>204</t>
        </is>
      </c>
      <c r="V4" t="inlineStr">
        <is>
          <t>Anon Key</t>
        </is>
      </c>
      <c r="W4" t="inlineStr">
        <is>
          <t>Sprint 26</t>
        </is>
      </c>
      <c r="X4" t="inlineStr">
        <is>
          <t>1.0.1</t>
        </is>
      </c>
      <c r="Y4" t="inlineStr">
        <is>
          <t>Config/Env</t>
        </is>
      </c>
      <c r="Z4" t="inlineStr">
        <is>
          <t>Live Practice Coach</t>
        </is>
      </c>
      <c r="AA4" t="inlineStr">
        <is>
          <t>Candidate App</t>
        </is>
      </c>
      <c r="AB4" t="inlineStr">
        <is>
          <t>Pro User</t>
        </is>
      </c>
      <c r="AC4" t="inlineStr">
        <is>
          <t>Rohan Mehta</t>
        </is>
      </c>
      <c r="AD4" t="inlineStr">
        <is>
          <t>Live Coach</t>
        </is>
      </c>
      <c r="AE4" t="inlineStr">
        <is>
          <t>Stub</t>
        </is>
      </c>
      <c r="AF4" t="inlineStr">
        <is>
          <t>Partial</t>
        </is>
      </c>
      <c r="AG4" t="inlineStr">
        <is>
          <t>Completed</t>
        </is>
      </c>
    </row>
    <row r="5">
      <c r="A5" t="inlineStr">
        <is>
          <t>Blocked</t>
        </is>
      </c>
      <c r="B5" t="inlineStr">
        <is>
          <t>Not Run</t>
        </is>
      </c>
      <c r="C5" t="inlineStr">
        <is>
          <t>Low</t>
        </is>
      </c>
      <c r="D5" t="inlineStr">
        <is>
          <t>Low</t>
        </is>
      </c>
      <c r="E5" t="inlineStr">
        <is>
          <t>CI</t>
        </is>
      </c>
      <c r="F5" t="inlineStr">
        <is>
          <t>Safari</t>
        </is>
      </c>
      <c r="G5" t="inlineStr">
        <is>
          <t>Android Phone</t>
        </is>
      </c>
      <c r="H5" t="inlineStr">
        <is>
          <t>Linux</t>
        </is>
      </c>
      <c r="I5" t="inlineStr">
        <is>
          <t>N/A</t>
        </is>
      </c>
      <c r="J5" t="inlineStr">
        <is>
          <t>Failed</t>
        </is>
      </c>
      <c r="K5" t="inlineStr">
        <is>
          <t>Fixed</t>
        </is>
      </c>
      <c r="L5" t="inlineStr">
        <is>
          <t>Low</t>
        </is>
      </c>
      <c r="M5" t="inlineStr">
        <is>
          <t>Low</t>
        </is>
      </c>
      <c r="N5" t="inlineStr">
        <is>
          <t>Partial</t>
        </is>
      </c>
      <c r="O5" t="inlineStr">
        <is>
          <t>Not Tested</t>
        </is>
      </c>
      <c r="P5" t="inlineStr">
        <is>
          <t>Blocked</t>
        </is>
      </c>
      <c r="R5" t="inlineStr">
        <is>
          <t>Deferred</t>
        </is>
      </c>
      <c r="S5" t="inlineStr">
        <is>
          <t>Poor</t>
        </is>
      </c>
      <c r="T5" t="inlineStr">
        <is>
          <t>PATCH</t>
        </is>
      </c>
      <c r="U5" t="inlineStr">
        <is>
          <t>400</t>
        </is>
      </c>
      <c r="V5" t="inlineStr">
        <is>
          <t>Service Role</t>
        </is>
      </c>
      <c r="W5" t="inlineStr">
        <is>
          <t>Sprint 27</t>
        </is>
      </c>
      <c r="X5" t="inlineStr">
        <is>
          <t>1.1.0</t>
        </is>
      </c>
      <c r="Y5" t="inlineStr">
        <is>
          <t>Race Condition</t>
        </is>
      </c>
      <c r="Z5" t="inlineStr">
        <is>
          <t>Mock Interview</t>
        </is>
      </c>
      <c r="AA5" t="inlineStr">
        <is>
          <t>Admin Portal</t>
        </is>
      </c>
      <c r="AB5" t="inlineStr">
        <is>
          <t>Max User</t>
        </is>
      </c>
      <c r="AC5" t="inlineStr">
        <is>
          <t>Priya Nair</t>
        </is>
      </c>
      <c r="AD5" t="inlineStr">
        <is>
          <t>Sessions</t>
        </is>
      </c>
      <c r="AE5" t="inlineStr">
        <is>
          <t>Dead Code</t>
        </is>
      </c>
      <c r="AF5" t="inlineStr">
        <is>
          <t>N/A</t>
        </is>
      </c>
      <c r="AG5" t="inlineStr">
        <is>
          <t>Blocked</t>
        </is>
      </c>
    </row>
    <row r="6">
      <c r="A6" t="inlineStr">
        <is>
          <t>Deferred</t>
        </is>
      </c>
      <c r="B6" t="inlineStr">
        <is>
          <t>N/A</t>
        </is>
      </c>
      <c r="E6" t="inlineStr">
        <is>
          <t>Electron Dev</t>
        </is>
      </c>
      <c r="F6" t="inlineStr">
        <is>
          <t>Electron</t>
        </is>
      </c>
      <c r="G6" t="inlineStr">
        <is>
          <t>iPad</t>
        </is>
      </c>
      <c r="H6" t="inlineStr">
        <is>
          <t>iOS</t>
        </is>
      </c>
      <c r="J6" t="inlineStr">
        <is>
          <t>Blocked</t>
        </is>
      </c>
      <c r="K6" t="inlineStr">
        <is>
          <t>Retest</t>
        </is>
      </c>
      <c r="O6" t="inlineStr">
        <is>
          <t>N/A</t>
        </is>
      </c>
      <c r="S6" t="inlineStr">
        <is>
          <t>Critical</t>
        </is>
      </c>
      <c r="T6" t="inlineStr">
        <is>
          <t>DELETE</t>
        </is>
      </c>
      <c r="U6" t="inlineStr">
        <is>
          <t>401</t>
        </is>
      </c>
      <c r="V6" t="inlineStr">
        <is>
          <t>Webhook HMAC</t>
        </is>
      </c>
      <c r="W6" t="inlineStr">
        <is>
          <t>Hotfix</t>
        </is>
      </c>
      <c r="Y6" t="inlineStr">
        <is>
          <t>UI Regression</t>
        </is>
      </c>
      <c r="Z6" t="inlineStr">
        <is>
          <t>Sessions &amp; Debriefs</t>
        </is>
      </c>
      <c r="AA6" t="inlineStr">
        <is>
          <t>Electron Overlay</t>
        </is>
      </c>
      <c r="AB6" t="inlineStr">
        <is>
          <t>Admin</t>
        </is>
      </c>
      <c r="AC6" t="inlineStr">
        <is>
          <t>Dev Patel</t>
        </is>
      </c>
      <c r="AD6" t="inlineStr">
        <is>
          <t>Analytics</t>
        </is>
      </c>
      <c r="AE6" t="inlineStr">
        <is>
          <t>Not Built</t>
        </is>
      </c>
      <c r="AG6" t="inlineStr">
        <is>
          <t>Deprecated</t>
        </is>
      </c>
    </row>
    <row r="7">
      <c r="A7" t="inlineStr">
        <is>
          <t>Ready</t>
        </is>
      </c>
      <c r="B7" t="inlineStr">
        <is>
          <t>In Progress</t>
        </is>
      </c>
      <c r="E7" t="inlineStr">
        <is>
          <t>Electron Packaged</t>
        </is>
      </c>
      <c r="F7" t="inlineStr">
        <is>
          <t>N/A</t>
        </is>
      </c>
      <c r="G7" t="inlineStr">
        <is>
          <t>Android Tablet</t>
        </is>
      </c>
      <c r="H7" t="inlineStr">
        <is>
          <t>Android</t>
        </is>
      </c>
      <c r="J7" t="inlineStr">
        <is>
          <t>Deferred</t>
        </is>
      </c>
      <c r="K7" t="inlineStr">
        <is>
          <t>Closed</t>
        </is>
      </c>
      <c r="T7" t="inlineStr">
        <is>
          <t>OPTIONS</t>
        </is>
      </c>
      <c r="U7" t="inlineStr">
        <is>
          <t>402</t>
        </is>
      </c>
      <c r="V7" t="inlineStr">
        <is>
          <t>API Key Header</t>
        </is>
      </c>
      <c r="Y7" t="inlineStr">
        <is>
          <t>API Contract</t>
        </is>
      </c>
      <c r="Z7" t="inlineStr">
        <is>
          <t>Analytics &amp; Usage</t>
        </is>
      </c>
      <c r="AA7" t="inlineStr">
        <is>
          <t>All Portals</t>
        </is>
      </c>
      <c r="AD7" t="inlineStr">
        <is>
          <t>Prep</t>
        </is>
      </c>
    </row>
    <row r="8">
      <c r="A8" t="inlineStr">
        <is>
          <t>Complete</t>
        </is>
      </c>
      <c r="K8" t="inlineStr">
        <is>
          <t>Won't Fix</t>
        </is>
      </c>
      <c r="U8" t="inlineStr">
        <is>
          <t>403</t>
        </is>
      </c>
      <c r="Y8" t="inlineStr">
        <is>
          <t>DB/RLS</t>
        </is>
      </c>
      <c r="Z8" t="inlineStr">
        <is>
          <t>Prep Lab</t>
        </is>
      </c>
      <c r="AD8" t="inlineStr">
        <is>
          <t>Docs</t>
        </is>
      </c>
    </row>
    <row r="9">
      <c r="A9" t="inlineStr">
        <is>
          <t>Active</t>
        </is>
      </c>
      <c r="K9" t="inlineStr">
        <is>
          <t>Duplicate</t>
        </is>
      </c>
      <c r="U9" t="inlineStr">
        <is>
          <t>404</t>
        </is>
      </c>
      <c r="Y9" t="inlineStr">
        <is>
          <t>Third-party</t>
        </is>
      </c>
      <c r="Z9" t="inlineStr">
        <is>
          <t>Documents &amp; Resumes</t>
        </is>
      </c>
      <c r="AD9" t="inlineStr">
        <is>
          <t>Scheduling</t>
        </is>
      </c>
    </row>
    <row r="10">
      <c r="U10" t="inlineStr">
        <is>
          <t>409</t>
        </is>
      </c>
      <c r="Y10" t="inlineStr">
        <is>
          <t>Design Gap</t>
        </is>
      </c>
      <c r="Z10" t="inlineStr">
        <is>
          <t>Answer Bank</t>
        </is>
      </c>
      <c r="AD10" t="inlineStr">
        <is>
          <t>Growth</t>
        </is>
      </c>
    </row>
    <row r="11">
      <c r="U11" t="inlineStr">
        <is>
          <t>429</t>
        </is>
      </c>
      <c r="Y11" t="inlineStr">
        <is>
          <t>Unknown</t>
        </is>
      </c>
      <c r="Z11" t="inlineStr">
        <is>
          <t>Interviews &amp; Calendar</t>
        </is>
      </c>
      <c r="AD11" t="inlineStr">
        <is>
          <t>GovExams</t>
        </is>
      </c>
    </row>
    <row r="12">
      <c r="U12" t="inlineStr">
        <is>
          <t>500</t>
        </is>
      </c>
      <c r="Z12" t="inlineStr">
        <is>
          <t>Company Research</t>
        </is>
      </c>
      <c r="AD12" t="inlineStr">
        <is>
          <t>Platform</t>
        </is>
      </c>
    </row>
    <row r="13">
      <c r="U13" t="inlineStr">
        <is>
          <t>501</t>
        </is>
      </c>
      <c r="Z13" t="inlineStr">
        <is>
          <t>Notifications &amp; Profile</t>
        </is>
      </c>
      <c r="AD13" t="inlineStr">
        <is>
          <t>Admin</t>
        </is>
      </c>
    </row>
    <row r="14">
      <c r="Z14" t="inlineStr">
        <is>
          <t>Referrals &amp; Guide</t>
        </is>
      </c>
      <c r="AD14" t="inlineStr">
        <is>
          <t>Billing</t>
        </is>
      </c>
    </row>
    <row r="15">
      <c r="Z15" t="inlineStr">
        <is>
          <t>Gov Exam Mock Tests</t>
        </is>
      </c>
      <c r="AD15" t="inlineStr">
        <is>
          <t>Desktop</t>
        </is>
      </c>
    </row>
    <row r="16">
      <c r="Z16" t="inlineStr">
        <is>
          <t>Settings</t>
        </is>
      </c>
      <c r="AD16" t="inlineStr">
        <is>
          <t>QA Lead</t>
        </is>
      </c>
    </row>
    <row r="17">
      <c r="Z17" t="inlineStr">
        <is>
          <t>Admin Portal</t>
        </is>
      </c>
      <c r="AD17" t="inlineStr">
        <is>
          <t>Dev Lead</t>
        </is>
      </c>
    </row>
    <row r="18">
      <c r="Z18" t="inlineStr">
        <is>
          <t>Marketing Site</t>
        </is>
      </c>
    </row>
    <row r="19">
      <c r="Z19" t="inlineStr">
        <is>
          <t>Billing &amp; Credits</t>
        </is>
      </c>
    </row>
    <row r="20">
      <c r="Z20" t="inlineStr">
        <is>
          <t>Electron Desktop Overlay</t>
        </is>
      </c>
    </row>
    <row r="21">
      <c r="Z21" t="inlineStr">
        <is>
          <t>Security &amp; Platform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2026-07-29T06:38:40Z</dcterms:created>
  <dcterms:modified xmlns:dcterms="http://purl.org/dc/terms/" xmlns:xsi="http://www.w3.org/2001/XMLSchema-instance" xsi:type="dcterms:W3CDTF">2026-07-29T06:38:41Z</dcterms:modified>
</cp:coreProperties>
</file>