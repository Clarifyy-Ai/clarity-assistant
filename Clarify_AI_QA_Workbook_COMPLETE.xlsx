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01 Dashboard" sheetId="2" state="visible" r:id="rId2"/>
    <sheet xmlns:r="http://schemas.openxmlformats.org/officeDocument/2006/relationships" name="02 Module Master" sheetId="3" state="visible" r:id="rId3"/>
    <sheet xmlns:r="http://schemas.openxmlformats.org/officeDocument/2006/relationships" name="03 Feature Inventory" sheetId="4" state="visible" r:id="rId4"/>
    <sheet xmlns:r="http://schemas.openxmlformats.org/officeDocument/2006/relationships" name="04 Test Case Repository" sheetId="5" state="visible" r:id="rId5"/>
    <sheet xmlns:r="http://schemas.openxmlformats.org/officeDocument/2006/relationships" name="05 E2E User Flows" sheetId="6" state="visible" r:id="rId6"/>
    <sheet xmlns:r="http://schemas.openxmlformats.org/officeDocument/2006/relationships" name="06 Bug Tracker" sheetId="7" state="visible" r:id="rId7"/>
    <sheet xmlns:r="http://schemas.openxmlformats.org/officeDocument/2006/relationships" name="07 UI-UX Testing" sheetId="8" state="visible" r:id="rId8"/>
    <sheet xmlns:r="http://schemas.openxmlformats.org/officeDocument/2006/relationships" name="08 Mobile Responsiveness" sheetId="9" state="visible" r:id="rId9"/>
    <sheet xmlns:r="http://schemas.openxmlformats.org/officeDocument/2006/relationships" name="09 API Testing" sheetId="10" state="visible" r:id="rId10"/>
    <sheet xmlns:r="http://schemas.openxmlformats.org/officeDocument/2006/relationships" name="10 Database Validation" sheetId="11" state="visible" r:id="rId11"/>
    <sheet xmlns:r="http://schemas.openxmlformats.org/officeDocument/2006/relationships" name="11 Authentication Testing" sheetId="12" state="visible" r:id="rId12"/>
    <sheet xmlns:r="http://schemas.openxmlformats.org/officeDocument/2006/relationships" name="12 Security Testing" sheetId="13" state="visible" r:id="rId13"/>
    <sheet xmlns:r="http://schemas.openxmlformats.org/officeDocument/2006/relationships" name="13 Performance Testing" sheetId="14" state="visible" r:id="rId14"/>
    <sheet xmlns:r="http://schemas.openxmlformats.org/officeDocument/2006/relationships" name="14 Live Coaching Testing" sheetId="15" state="visible" r:id="rId15"/>
    <sheet xmlns:r="http://schemas.openxmlformats.org/officeDocument/2006/relationships" name="15 Gov Exam Mock Testing" sheetId="16" state="visible" r:id="rId16"/>
    <sheet xmlns:r="http://schemas.openxmlformats.org/officeDocument/2006/relationships" name="16 Billing Credits Testing" sheetId="17" state="visible" r:id="rId17"/>
    <sheet xmlns:r="http://schemas.openxmlformats.org/officeDocument/2006/relationships" name="17 Role Based Testing" sheetId="18" state="visible" r:id="rId18"/>
    <sheet xmlns:r="http://schemas.openxmlformats.org/officeDocument/2006/relationships" name="18 Regression Testing" sheetId="19" state="visible" r:id="rId19"/>
    <sheet xmlns:r="http://schemas.openxmlformats.org/officeDocument/2006/relationships" name="19 Production Readiness" sheetId="20" state="visible" r:id="rId20"/>
    <sheet xmlns:r="http://schemas.openxmlformats.org/officeDocument/2006/relationships" name="20 Release Sign-Off" sheetId="21" state="visible" r:id="rId21"/>
    <sheet xmlns:r="http://schemas.openxmlformats.org/officeDocument/2006/relationships" name="QA Team" sheetId="22" state="visible" r:id="rId22"/>
    <sheet xmlns:r="http://schemas.openxmlformats.org/officeDocument/2006/relationships" name="Daily Log" sheetId="23" state="visible" r:id="rId23"/>
    <sheet xmlns:r="http://schemas.openxmlformats.org/officeDocument/2006/relationships" name="Lists" sheetId="24" state="visible" r:id="rId24"/>
  </sheets>
  <definedNames>
    <definedName name="_xlnm._FilterDatabase" localSheetId="2" hidden="1">'02 Module Master'!$A$2:$P$23</definedName>
    <definedName name="_xlnm._FilterDatabase" localSheetId="3" hidden="1">'03 Feature Inventory'!$A$2:$S$23</definedName>
    <definedName name="_xlnm._FilterDatabase" localSheetId="4" hidden="1">'04 Test Case Repository'!$A$2:$AH$15</definedName>
    <definedName name="_xlnm._FilterDatabase" localSheetId="5" hidden="1">'05 E2E User Flows'!$A$2:$O$9</definedName>
    <definedName name="_xlnm._FilterDatabase" localSheetId="6" hidden="1">'06 Bug Tracker'!$A$2:$X$8</definedName>
    <definedName name="_xlnm._FilterDatabase" localSheetId="7" hidden="1">'07 UI-UX Testing'!$A$2:$M$7</definedName>
    <definedName name="_xlnm._FilterDatabase" localSheetId="8" hidden="1">'08 Mobile Responsiveness'!$A$2:$L$7</definedName>
    <definedName name="_xlnm._FilterDatabase" localSheetId="9" hidden="1">'09 API Testing'!$A$2:$M$8</definedName>
    <definedName name="_xlnm._FilterDatabase" localSheetId="10" hidden="1">'10 Database Validation'!$A$2:$M$8</definedName>
    <definedName name="_xlnm._FilterDatabase" localSheetId="11" hidden="1">'11 Authentication Testing'!$A$2:$N$7</definedName>
    <definedName name="_xlnm._FilterDatabase" localSheetId="12" hidden="1">'12 Security Testing'!$A$2:$P$8</definedName>
    <definedName name="_xlnm._FilterDatabase" localSheetId="13" hidden="1">'13 Performance Testing'!$A$2:$J$7</definedName>
    <definedName name="_xlnm._FilterDatabase" localSheetId="14" hidden="1">'14 Live Coaching Testing'!$A$2:$O$7</definedName>
    <definedName name="_xlnm._FilterDatabase" localSheetId="15" hidden="1">'15 Gov Exam Mock Testing'!$A$2:$P$7</definedName>
    <definedName name="_xlnm._FilterDatabase" localSheetId="16" hidden="1">'16 Billing Credits Testing'!$A$2:$R$8</definedName>
    <definedName name="_xlnm._FilterDatabase" localSheetId="17" hidden="1">'17 Role Based Testing'!$A$2:$J$11</definedName>
    <definedName name="_xlnm._FilterDatabase" localSheetId="18" hidden="1">'18 Regression Testing'!$A$2:$K$9</definedName>
    <definedName name="_xlnm._FilterDatabase" localSheetId="19" hidden="1">'19 Production Readiness'!$A$2:$T$10</definedName>
    <definedName name="_xlnm._FilterDatabase" localSheetId="20" hidden="1">'20 Release Sign-Off'!$A$2:$M$5</definedName>
    <definedName name="_xlnm._FilterDatabase" localSheetId="21" hidden="1">'QA Team'!$A$2:$K$8</definedName>
    <definedName name="_xlnm._FilterDatabase" localSheetId="22" hidden="1">'Daily Log'!$A$2:$J$10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8"/>
    </font>
    <font>
      <b val="1"/>
    </font>
    <font>
      <b val="1"/>
      <color rgb="00FFFFFF"/>
    </font>
    <font>
      <name val="Calibri"/>
      <i val="1"/>
      <color rgb="0064748B"/>
      <sz val="10"/>
    </font>
    <font>
      <name val="Calibri"/>
      <b val="1"/>
      <color rgb="000F766E"/>
      <sz val="12"/>
    </font>
    <font>
      <name val="Calibri"/>
      <color rgb="00334155"/>
      <sz val="9"/>
    </font>
    <font>
      <name val="Calibri"/>
      <b val="1"/>
      <color rgb="00FFFFFF"/>
      <sz val="16"/>
    </font>
    <font>
      <name val="Consolas"/>
      <color rgb="000F766E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DE047"/>
      </patternFill>
    </fill>
    <fill>
      <patternFill patternType="solid">
        <fgColor rgb="00CBD5E1"/>
      </patternFill>
    </fill>
    <fill>
      <patternFill patternType="solid">
        <fgColor rgb="0093C5FD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9" fillId="0" borderId="1" pivotButton="0" quotePrefix="0" xfId="0"/>
    <xf numFmtId="165" fontId="8" fillId="4" borderId="1" applyAlignment="1" pivotButton="0" quotePrefix="0" xfId="0">
      <alignment horizontal="center" vertical="center" wrapText="1"/>
    </xf>
    <xf numFmtId="9" fontId="0" fillId="0" borderId="0" pivotButton="0" quotePrefix="0" xfId="0"/>
    <xf numFmtId="166" fontId="8" fillId="4" borderId="1" applyAlignment="1" pivotButton="0" quotePrefix="0" xfId="0">
      <alignment horizontal="center" vertical="center" wrapText="1"/>
    </xf>
    <xf numFmtId="0" fontId="1" fillId="2" borderId="1" applyAlignment="1" applyProtection="1" pivotButton="0" quotePrefix="0" xfId="0">
      <alignment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164" fontId="0" fillId="0" borderId="1" applyAlignment="1" applyProtection="1" pivotButton="0" quotePrefix="0" xfId="0">
      <alignment vertical="top" wrapText="1"/>
      <protection locked="0" hidden="0"/>
    </xf>
    <xf numFmtId="164" fontId="0" fillId="3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5" fontId="0" fillId="0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165" fontId="4" fillId="4" borderId="1" applyAlignment="1" applyProtection="1" pivotButton="0" quotePrefix="0" xfId="0">
      <alignment vertical="top" wrapText="1"/>
      <protection locked="0" hidden="0"/>
    </xf>
    <xf numFmtId="0" fontId="3" fillId="3" borderId="1" applyAlignment="1" applyProtection="1" pivotButton="0" quotePrefix="0" xfId="0">
      <alignment vertical="top" wrapText="1"/>
      <protection locked="0" hidden="0"/>
    </xf>
    <xf numFmtId="0" fontId="1" fillId="2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87171"/>
        </patternFill>
      </fill>
    </dxf>
    <dxf>
      <fill>
        <patternFill patternType="solid">
          <fgColor rgb="00FDBA74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86EFAC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047"/>
        </patternFill>
      </fill>
    </dxf>
    <dxf>
      <fill>
        <patternFill patternType="solid">
          <fgColor rgb="00CBD5E1"/>
        </patternFill>
      </fill>
    </dxf>
    <dxf>
      <fill>
        <patternFill patternType="solid">
          <f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Mix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Dashboard'!$F$4:$F$7</f>
            </numRef>
          </cat>
          <val>
            <numRef>
              <f>'01 Dashboard'!$G$4:$G$7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Dashboard'!$F$10:$F$13</f>
            </numRef>
          </cat>
          <val>
            <numRef>
              <f>'01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Dashboard'!$F$16:$F$35</f>
            </numRef>
          </cat>
          <val>
            <numRef>
              <f>'01 Dashboard'!$G$16:$G$35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 (Executed vs Passed)</a:t>
            </a:r>
          </a:p>
        </rich>
      </tx>
    </title>
    <plotArea>
      <lineChart>
        <grouping val="standard"/>
        <ser>
          <idx val="0"/>
          <order val="0"/>
          <tx>
            <strRef>
              <f>'01 Dashboard'!J4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 Dashboard'!$I$5:$I$11</f>
            </numRef>
          </cat>
          <val>
            <numRef>
              <f>'01 Dashboard'!$J$5:$J$11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Hours by QA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Dashboard'!$N$4:$N$8</f>
            </numRef>
          </cat>
          <val>
            <numRef>
              <f>'01 Dashboard'!$O$4:$O$8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Clarify AI — Enterprise QA Testing Workbook</t>
        </is>
      </c>
    </row>
    <row r="3">
      <c r="A3" s="2" t="inlineStr"/>
      <c r="B3" s="3" t="inlineStr"/>
    </row>
    <row r="4">
      <c r="A4" s="2" t="inlineStr">
        <is>
          <t>Application</t>
        </is>
      </c>
      <c r="B4" s="3" t="inlineStr">
        <is>
          <t>Clarify AI</t>
        </is>
      </c>
    </row>
    <row r="5">
      <c r="A5" s="2" t="inlineStr">
        <is>
          <t>Description</t>
        </is>
      </c>
      <c r="B5" s="3" t="inlineStr">
        <is>
          <t>AI-powered interview preparation &amp; rehearsal platform with Indian gov-exam MCQ mock tests, live coaching overlay, and dual Stripe/Razorpay billing.</t>
        </is>
      </c>
    </row>
    <row r="6">
      <c r="A6" s="2" t="inlineStr">
        <is>
          <t>Tech stack</t>
        </is>
      </c>
      <c r="B6" s="3" t="inlineStr">
        <is>
          <t>React 18 + TypeScript + Vite + Tailwind/shadcn · Supabase (Auth, Postgres+RLS, Edge/Deno, Storage, Realtime) · Electron · Deepgram · Gemini/OpenAI/Anthropic · Stripe + Razorpay</t>
        </is>
      </c>
    </row>
    <row r="7">
      <c r="A7" s="2" t="inlineStr">
        <is>
          <t>Portals</t>
        </is>
      </c>
      <c r="B7" s="3" t="inlineStr">
        <is>
          <t>Marketing · Auth · Candidate App · Admin · Electron Overlay</t>
        </is>
      </c>
    </row>
    <row r="8">
      <c r="A8" s="2" t="inlineStr">
        <is>
          <t>Roles</t>
        </is>
      </c>
      <c r="B8" s="3" t="inlineStr">
        <is>
          <t>Guest · Free User · Pro User · Max User · Admin</t>
        </is>
      </c>
    </row>
    <row r="9">
      <c r="A9" s="2" t="inlineStr">
        <is>
          <t>Version under test</t>
        </is>
      </c>
      <c r="B9" s="3" t="inlineStr">
        <is>
          <t>1.0.0 / 1.0.0-beta</t>
        </is>
      </c>
    </row>
    <row r="10">
      <c r="A10" s="2" t="inlineStr">
        <is>
          <t>Generated</t>
        </is>
      </c>
      <c r="B10" s="3" t="inlineStr">
        <is>
          <t>2026-07-28</t>
        </is>
      </c>
    </row>
    <row r="11">
      <c r="A11" s="2" t="inlineStr"/>
      <c r="B11" s="3" t="inlineStr"/>
    </row>
    <row r="12">
      <c r="A12" s="2" t="inlineStr">
        <is>
          <t>HOW TO USE</t>
        </is>
      </c>
      <c r="B12" s="3" t="inlineStr"/>
    </row>
    <row r="13">
      <c r="A13" s="2" t="inlineStr">
        <is>
          <t>1</t>
        </is>
      </c>
      <c r="B13" s="3" t="inlineStr">
        <is>
          <t>Open 01 Dashboard — all KPIs and charts are formula-driven. Do not type numbers there.</t>
        </is>
      </c>
    </row>
    <row r="14">
      <c r="A14" s="2" t="inlineStr">
        <is>
          <t>2</t>
        </is>
      </c>
      <c r="B14" s="3" t="inlineStr">
        <is>
          <t>Maintain Modules (02) and Features (03) as scope changes.</t>
        </is>
      </c>
    </row>
    <row r="15">
      <c r="A15" s="2" t="inlineStr">
        <is>
          <t>3</t>
        </is>
      </c>
      <c r="B15" s="3" t="inlineStr">
        <is>
          <t>Author/execute cases in 04; link defects in 06 via Bug ID.</t>
        </is>
      </c>
    </row>
    <row r="16">
      <c r="A16" s="2" t="inlineStr">
        <is>
          <t>4</t>
        </is>
      </c>
      <c r="B16" s="3" t="inlineStr">
        <is>
          <t>Run golden paths in 05 before every RC; fill Daily Log for progress charts.</t>
        </is>
      </c>
    </row>
    <row r="17">
      <c r="A17" s="2" t="inlineStr">
        <is>
          <t>5</t>
        </is>
      </c>
      <c r="B17" s="3" t="inlineStr">
        <is>
          <t>Execute domain packs 14–16 (Live Coaching, Gov Exam, Billing) — not marketplace.</t>
        </is>
      </c>
    </row>
    <row r="18">
      <c r="A18" s="2" t="inlineStr">
        <is>
          <t>6</t>
        </is>
      </c>
      <c r="B18" s="3" t="inlineStr">
        <is>
          <t>Complete 19 Production Readiness and 20 Release Sign-Off for Go/No-Go.</t>
        </is>
      </c>
    </row>
    <row r="19">
      <c r="A19" s="2" t="inlineStr">
        <is>
          <t>7</t>
        </is>
      </c>
      <c r="B19" s="3" t="inlineStr">
        <is>
          <t>All enums use Lists dropdowns. Track Est Hours / Actual Hours on modules, features, cases, E2E, and regression. Use QA Team sheet for roster capacity.</t>
        </is>
      </c>
    </row>
    <row r="20">
      <c r="A20" s="2" t="inlineStr"/>
      <c r="B20" s="3" t="inlineStr"/>
    </row>
    <row r="21">
      <c r="A21" s="2" t="inlineStr">
        <is>
          <t>QA TEAM</t>
        </is>
      </c>
      <c r="B21" s="3" t="inlineStr"/>
    </row>
    <row r="22">
      <c r="A22" s="2" t="inlineStr"/>
      <c r="B22" s="3" t="inlineStr">
        <is>
          <t>Kavya Iyer (QA Lead) · Asha Sharma (Senior QA) · Rohan Mehta (QA Engineer) · Priya Nair (QA Engineer) · Dev Patel (SDET)</t>
        </is>
      </c>
    </row>
    <row r="23">
      <c r="A23" s="4" t="inlineStr">
        <is>
          <t>Green</t>
        </is>
      </c>
      <c r="B23" s="3" t="inlineStr">
        <is>
          <t>Pass / Yes</t>
        </is>
      </c>
    </row>
    <row r="24">
      <c r="A24" s="5" t="inlineStr">
        <is>
          <t>Red</t>
        </is>
      </c>
      <c r="B24" s="3" t="inlineStr">
        <is>
          <t>Fail / No / Critical</t>
        </is>
      </c>
    </row>
    <row r="25">
      <c r="A25" s="6" t="inlineStr">
        <is>
          <t>Yellow</t>
        </is>
      </c>
      <c r="B25" s="3" t="inlineStr">
        <is>
          <t>In Progress / Blocked / Medium</t>
        </is>
      </c>
    </row>
    <row r="26">
      <c r="A26" s="7" t="inlineStr">
        <is>
          <t>Gray</t>
        </is>
      </c>
      <c r="B26" s="3" t="inlineStr">
        <is>
          <t>Not Started / Not Run</t>
        </is>
      </c>
    </row>
    <row r="27">
      <c r="A27" s="8" t="inlineStr">
        <is>
          <t>Blue</t>
        </is>
      </c>
      <c r="B27" s="3" t="inlineStr">
        <is>
          <t>Completed / Passed / Ready</t>
        </is>
      </c>
    </row>
    <row r="28">
      <c r="A28" s="2" t="inlineStr"/>
      <c r="B28" s="3" t="inlineStr"/>
    </row>
    <row r="29">
      <c r="A29" s="2" t="inlineStr">
        <is>
          <t>SCALING</t>
        </is>
      </c>
      <c r="B29" s="3" t="inlineStr"/>
    </row>
    <row r="30">
      <c r="A30" s="2" t="inlineStr"/>
      <c r="B30" s="3" t="inlineStr">
        <is>
          <t>Designed for hundreds of modules and tens of thousands of test cases. Keep one row per entity; use filters and freeze panes. Dashboard formulas scan to row 5000.</t>
        </is>
      </c>
    </row>
    <row r="31">
      <c r="A31" s="2" t="inlineStr">
        <is>
          <t>Google Sheets</t>
        </is>
      </c>
      <c r="B31" s="3" t="inlineStr">
        <is>
          <t>Upload this .xlsx to Drive → Open with Google Sheets. Charts and data validation transfer; re-check named Lists ranges after import.</t>
        </is>
      </c>
    </row>
    <row r="32">
      <c r="A32" s="2" t="inlineStr"/>
      <c r="B32" s="3" t="inlineStr"/>
    </row>
    <row r="33">
      <c r="A33" s="2" t="inlineStr">
        <is>
          <t>SHEET INDEX</t>
        </is>
      </c>
      <c r="B33" s="3" t="inlineStr"/>
    </row>
    <row r="34">
      <c r="A34" s="2" t="inlineStr">
        <is>
          <t>01 Dashboard</t>
        </is>
      </c>
      <c r="B34" s="3" t="inlineStr">
        <is>
          <t>Live KPIs + charts</t>
        </is>
      </c>
    </row>
    <row r="35">
      <c r="A35" s="2" t="inlineStr">
        <is>
          <t>02 Module Master</t>
        </is>
      </c>
      <c r="B35" s="3" t="inlineStr">
        <is>
          <t>20 Clarify modules</t>
        </is>
      </c>
    </row>
    <row r="36">
      <c r="A36" s="2" t="inlineStr">
        <is>
          <t>03 Feature Inventory</t>
        </is>
      </c>
      <c r="B36" s="3" t="inlineStr">
        <is>
          <t>Feature coverage matrix</t>
        </is>
      </c>
    </row>
    <row r="37">
      <c r="A37" s="2" t="inlineStr">
        <is>
          <t>04 Test Case Repository</t>
        </is>
      </c>
      <c r="B37" s="3" t="inlineStr">
        <is>
          <t>Executable cases</t>
        </is>
      </c>
    </row>
    <row r="38">
      <c r="A38" s="2" t="inlineStr">
        <is>
          <t>05 E2E User Flows</t>
        </is>
      </c>
      <c r="B38" s="3" t="inlineStr">
        <is>
          <t>Cross-module journeys</t>
        </is>
      </c>
    </row>
    <row r="39">
      <c r="A39" s="2" t="inlineStr">
        <is>
          <t>06 Bug Tracker</t>
        </is>
      </c>
      <c r="B39" s="3" t="inlineStr">
        <is>
          <t>Defect lifecycle</t>
        </is>
      </c>
    </row>
    <row r="40">
      <c r="A40" s="2" t="inlineStr">
        <is>
          <t>07 UI-UX Testing</t>
        </is>
      </c>
      <c r="B40" s="3" t="inlineStr">
        <is>
          <t>Visual / a11y</t>
        </is>
      </c>
    </row>
    <row r="41">
      <c r="A41" s="2" t="inlineStr">
        <is>
          <t>08 Mobile Responsiveness</t>
        </is>
      </c>
      <c r="B41" s="3" t="inlineStr">
        <is>
          <t>Breakpoints</t>
        </is>
      </c>
    </row>
    <row r="42">
      <c r="A42" s="2" t="inlineStr">
        <is>
          <t>09 API Testing</t>
        </is>
      </c>
      <c r="B42" s="3" t="inlineStr">
        <is>
          <t>Edge functions</t>
        </is>
      </c>
    </row>
    <row r="43">
      <c r="A43" s="2" t="inlineStr">
        <is>
          <t>10 Database Validation</t>
        </is>
      </c>
      <c r="B43" s="3" t="inlineStr">
        <is>
          <t>Schema / RLS</t>
        </is>
      </c>
    </row>
    <row r="44">
      <c r="A44" s="2" t="inlineStr">
        <is>
          <t>11 Authentication Testing</t>
        </is>
      </c>
      <c r="B44" s="3" t="inlineStr">
        <is>
          <t>Auth matrix</t>
        </is>
      </c>
    </row>
    <row r="45">
      <c r="A45" s="2" t="inlineStr">
        <is>
          <t>12 Security Testing</t>
        </is>
      </c>
      <c r="B45" s="3" t="inlineStr">
        <is>
          <t>OWASP-style</t>
        </is>
      </c>
    </row>
    <row r="46">
      <c r="A46" s="2" t="inlineStr">
        <is>
          <t>13 Performance Testing</t>
        </is>
      </c>
      <c r="B46" s="3" t="inlineStr">
        <is>
          <t>Latency budgets</t>
        </is>
      </c>
    </row>
    <row r="47">
      <c r="A47" s="2" t="inlineStr">
        <is>
          <t>14 Live Coaching Testing</t>
        </is>
      </c>
      <c r="B47" s="3" t="inlineStr">
        <is>
          <t>Domain: live coach + overlay</t>
        </is>
      </c>
    </row>
    <row r="48">
      <c r="A48" s="2" t="inlineStr">
        <is>
          <t>15 Gov Exam Mock Testing</t>
        </is>
      </c>
      <c r="B48" s="3" t="inlineStr">
        <is>
          <t>Domain: MCQ engine</t>
        </is>
      </c>
    </row>
    <row r="49">
      <c r="A49" s="2" t="inlineStr">
        <is>
          <t>16 Billing Credits Testing</t>
        </is>
      </c>
      <c r="B49" s="3" t="inlineStr">
        <is>
          <t>Domain: Stripe/Razorpay/credits</t>
        </is>
      </c>
    </row>
    <row r="50">
      <c r="A50" s="2" t="inlineStr">
        <is>
          <t>17 Role Based Testing</t>
        </is>
      </c>
      <c r="B50" s="3" t="inlineStr">
        <is>
          <t>Plan + admin RBAC</t>
        </is>
      </c>
    </row>
    <row r="51">
      <c r="A51" s="2" t="inlineStr">
        <is>
          <t>18 Regression Testing</t>
        </is>
      </c>
      <c r="B51" s="3" t="inlineStr">
        <is>
          <t>Release regression pack</t>
        </is>
      </c>
    </row>
    <row r="52">
      <c r="A52" s="2" t="inlineStr">
        <is>
          <t>19 Production Readiness</t>
        </is>
      </c>
      <c r="B52" s="3" t="inlineStr">
        <is>
          <t>Go-live checklist</t>
        </is>
      </c>
    </row>
    <row r="53">
      <c r="A53" s="2" t="inlineStr">
        <is>
          <t>20 Release Sign-Off</t>
        </is>
      </c>
      <c r="B53" s="3" t="inlineStr">
        <is>
          <t>Formal approval</t>
        </is>
      </c>
    </row>
    <row r="54">
      <c r="A54" s="2" t="inlineStr">
        <is>
          <t>Daily Log</t>
        </is>
      </c>
      <c r="B54" s="3" t="inlineStr">
        <is>
          <t>Feeds daily progress chart</t>
        </is>
      </c>
    </row>
    <row r="55">
      <c r="A55" s="2" t="inlineStr">
        <is>
          <t>Lists</t>
        </is>
      </c>
      <c r="B55" s="3" t="inlineStr">
        <is>
          <t>Dropdown vocabulary — do not delete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2" customWidth="1" min="4" max="4"/>
    <col width="28" customWidth="1" min="6" max="6"/>
    <col width="14" customWidth="1" min="7" max="7"/>
    <col width="14" customWidth="1" min="9" max="9"/>
    <col width="12" customWidth="1" min="10" max="10"/>
    <col width="10" customWidth="1" min="11" max="11"/>
    <col width="16" customWidth="1" min="14" max="14"/>
    <col width="12" customWidth="1" min="15" max="15"/>
  </cols>
  <sheetData>
    <row r="1">
      <c r="A1" s="1" t="inlineStr">
        <is>
          <t>Clarify AI — QA Executive Dashboard</t>
        </is>
      </c>
    </row>
    <row r="2">
      <c r="A2" s="9" t="inlineStr">
        <is>
          <t>Formula-driven · Do not edit KPI cells (protected intent) · Source sheets 02–20 + Daily Log</t>
        </is>
      </c>
    </row>
    <row r="3">
      <c r="A3" s="10" t="inlineStr">
        <is>
          <t>KEY PERFORMANCE INDICATORS</t>
        </is>
      </c>
      <c r="F3" s="10" t="inlineStr">
        <is>
          <t>Count</t>
        </is>
      </c>
      <c r="I3" s="10" t="inlineStr">
        <is>
          <t>Daily Progress</t>
        </is>
      </c>
      <c r="N3" s="10" t="inlineStr">
        <is>
          <t>QA Person</t>
        </is>
      </c>
      <c r="O3" t="inlineStr">
        <is>
          <t>Actual Hours</t>
        </is>
      </c>
    </row>
    <row r="4">
      <c r="A4" s="11" t="inlineStr">
        <is>
          <t>Total Modules</t>
        </is>
      </c>
      <c r="B4" s="12">
        <f>IFERROR(COUNTA('02 Module Master'!A3:A5000)-COUNTIF('02 Module Master'!A3:A5000,"TOTAL"),0)</f>
        <v/>
      </c>
      <c r="C4" s="10" t="inlineStr">
        <is>
          <t>PROGRESS BARS</t>
        </is>
      </c>
      <c r="F4" t="inlineStr">
        <is>
          <t>Passed</t>
        </is>
      </c>
      <c r="G4">
        <f>IFERROR(B7,0)</f>
        <v/>
      </c>
      <c r="I4" t="inlineStr">
        <is>
          <t>Date</t>
        </is>
      </c>
      <c r="J4" t="inlineStr">
        <is>
          <t>Executed</t>
        </is>
      </c>
      <c r="K4" t="inlineStr">
        <is>
          <t>Passed</t>
        </is>
      </c>
      <c r="L4" t="inlineStr">
        <is>
          <t>Hours</t>
        </is>
      </c>
      <c r="N4" t="inlineStr">
        <is>
          <t>Kavya Iyer</t>
        </is>
      </c>
      <c r="O4">
        <f>IFERROR(SUMIF('04 Test Case Repository'!S$3:S$5000,N4,'04 Test Case Repository'!U$3:U$5000),0)</f>
        <v/>
      </c>
    </row>
    <row r="5">
      <c r="A5" s="11" t="inlineStr">
        <is>
          <t>Total Features</t>
        </is>
      </c>
      <c r="B5" s="12">
        <f>IFERROR(COUNTA('03 Feature Inventory'!A3:A5000)-COUNTIF('03 Feature Inventory'!A3:A5000,"TOTAL"),0)</f>
        <v/>
      </c>
      <c r="C5" s="13" t="inlineStr">
        <is>
          <t>Pass Rate</t>
        </is>
      </c>
      <c r="D5" s="14">
        <f>IFERROR(REPT("#",MAX(0,MIN(10,ROUND(N(B16)*10,0))))&amp;REPT("-",10-MAX(0,MIN(10,ROUND(N(B16)*10,0)))),REPT("-",10))</f>
        <v/>
      </c>
      <c r="F5" t="inlineStr">
        <is>
          <t>Failed</t>
        </is>
      </c>
      <c r="G5">
        <f>IFERROR(B8,0)</f>
        <v/>
      </c>
      <c r="I5">
        <f>IFERROR('Daily Log'!A3,"")</f>
        <v/>
      </c>
      <c r="J5">
        <f>IFERROR('Daily Log'!C3,0)</f>
        <v/>
      </c>
      <c r="K5">
        <f>IFERROR('Daily Log'!D3,0)</f>
        <v/>
      </c>
      <c r="L5">
        <f>IFERROR('Daily Log'!I3,0)</f>
        <v/>
      </c>
      <c r="N5" t="inlineStr">
        <is>
          <t>Asha Sharma</t>
        </is>
      </c>
      <c r="O5">
        <f>IFERROR(SUMIF('04 Test Case Repository'!S$3:S$5000,N5,'04 Test Case Repository'!U$3:U$5000),0)</f>
        <v/>
      </c>
    </row>
    <row r="6">
      <c r="A6" s="11" t="inlineStr">
        <is>
          <t>Total Test Cases</t>
        </is>
      </c>
      <c r="B6" s="12">
        <f>IFERROR(COUNTA('04 Test Case Repository'!A3:A5000)-COUNTIF('04 Test Case Repository'!A3:A5000,"TOTAL"),0)</f>
        <v/>
      </c>
      <c r="C6" s="13" t="inlineStr">
        <is>
          <t>QA Progress</t>
        </is>
      </c>
      <c r="D6" s="14">
        <f>IFERROR(REPT("#",MAX(0,MIN(10,ROUND(N(B18)*10,0))))&amp;REPT("-",10-MAX(0,MIN(10,ROUND(N(B18)*10,0)))),REPT("-",10))</f>
        <v/>
      </c>
      <c r="F6" t="inlineStr">
        <is>
          <t>Blocked</t>
        </is>
      </c>
      <c r="G6">
        <f>IFERROR(B9,0)</f>
        <v/>
      </c>
      <c r="I6">
        <f>IFERROR('Daily Log'!A4,"")</f>
        <v/>
      </c>
      <c r="J6">
        <f>IFERROR('Daily Log'!C4,0)</f>
        <v/>
      </c>
      <c r="K6">
        <f>IFERROR('Daily Log'!D4,0)</f>
        <v/>
      </c>
      <c r="L6">
        <f>IFERROR('Daily Log'!I4,0)</f>
        <v/>
      </c>
      <c r="N6" t="inlineStr">
        <is>
          <t>Rohan Mehta</t>
        </is>
      </c>
      <c r="O6">
        <f>IFERROR(SUMIF('04 Test Case Repository'!S$3:S$5000,N6,'04 Test Case Repository'!U$3:U$5000),0)</f>
        <v/>
      </c>
    </row>
    <row r="7">
      <c r="A7" s="11" t="inlineStr">
        <is>
          <t>Passed</t>
        </is>
      </c>
      <c r="B7" s="12">
        <f>IFERROR(COUNTIF('04 Test Case Repository'!P3:P5000,"Pass"),0)</f>
        <v/>
      </c>
      <c r="C7" s="13" t="inlineStr">
        <is>
          <t>Prod Ready</t>
        </is>
      </c>
      <c r="D7" s="14">
        <f>IFERROR(REPT("#",MAX(0,MIN(10,ROUND(N(B19)*10,0))))&amp;REPT("-",10-MAX(0,MIN(10,ROUND(N(B19)*10,0)))),REPT("-",10))</f>
        <v/>
      </c>
      <c r="F7" t="inlineStr">
        <is>
          <t>Not Executed</t>
        </is>
      </c>
      <c r="G7">
        <f>IFERROR(B10,0)</f>
        <v/>
      </c>
      <c r="I7">
        <f>IFERROR('Daily Log'!A5,"")</f>
        <v/>
      </c>
      <c r="J7">
        <f>IFERROR('Daily Log'!C5,0)</f>
        <v/>
      </c>
      <c r="K7">
        <f>IFERROR('Daily Log'!D5,0)</f>
        <v/>
      </c>
      <c r="L7">
        <f>IFERROR('Daily Log'!I5,0)</f>
        <v/>
      </c>
      <c r="N7" t="inlineStr">
        <is>
          <t>Priya Nair</t>
        </is>
      </c>
      <c r="O7">
        <f>IFERROR(SUMIF('04 Test Case Repository'!S$3:S$5000,N7,'04 Test Case Repository'!U$3:U$5000),0)</f>
        <v/>
      </c>
    </row>
    <row r="8">
      <c r="A8" s="11" t="inlineStr">
        <is>
          <t>Failed</t>
        </is>
      </c>
      <c r="B8" s="12">
        <f>IFERROR(COUNTIF('04 Test Case Repository'!P3:P5000,"Fail"),0)</f>
        <v/>
      </c>
      <c r="C8" s="13" t="inlineStr">
        <is>
          <t>Module Complete</t>
        </is>
      </c>
      <c r="D8" s="14">
        <f>IFERROR(REPT("#",MAX(0,MIN(10,ROUND(IFERROR(COUNTIF('02 Module Master'!H3:H5000,"Completed")/MAX(1,COUNTA('02 Module Master'!A3:A5000)),0)*10,0))))&amp;REPT("-",10-MAX(0,MIN(10,ROUND(IFERROR(COUNTIF('02 Module Master'!H3:H5000,"Completed")/MAX(1,COUNTA('02 Module Master'!A3:A5000)),0)*10,0)))),REPT("-",10))</f>
        <v/>
      </c>
      <c r="I8">
        <f>IFERROR('Daily Log'!A6,"")</f>
        <v/>
      </c>
      <c r="J8">
        <f>IFERROR('Daily Log'!C6,0)</f>
        <v/>
      </c>
      <c r="K8">
        <f>IFERROR('Daily Log'!D6,0)</f>
        <v/>
      </c>
      <c r="L8">
        <f>IFERROR('Daily Log'!I6,0)</f>
        <v/>
      </c>
      <c r="N8" t="inlineStr">
        <is>
          <t>Dev Patel</t>
        </is>
      </c>
      <c r="O8">
        <f>IFERROR(SUMIF('04 Test Case Repository'!S$3:S$5000,N8,'04 Test Case Repository'!U$3:U$5000),0)</f>
        <v/>
      </c>
    </row>
    <row r="9">
      <c r="A9" s="11" t="inlineStr">
        <is>
          <t>Blocked</t>
        </is>
      </c>
      <c r="B9" s="12">
        <f>IFERROR(COUNTIF('04 Test Case Repository'!P3:P5000,"Blocked"),0)</f>
        <v/>
      </c>
      <c r="C9" s="13" t="inlineStr">
        <is>
          <t>Hours Burn</t>
        </is>
      </c>
      <c r="D9" s="14">
        <f>IFERROR(REPT("#",MAX(0,MIN(10,ROUND(IF(B20=0,0,MIN(1,B21/B20))*10,0))))&amp;REPT("-",10-MAX(0,MIN(10,ROUND(IF(B20=0,0,MIN(1,B21/B20))*10,0)))),REPT("-",10))</f>
        <v/>
      </c>
      <c r="F9" s="10" t="inlineStr">
        <is>
          <t>Count</t>
        </is>
      </c>
      <c r="I9">
        <f>IFERROR('Daily Log'!A7,"")</f>
        <v/>
      </c>
      <c r="J9">
        <f>IFERROR('Daily Log'!C7,0)</f>
        <v/>
      </c>
      <c r="K9">
        <f>IFERROR('Daily Log'!D7,0)</f>
        <v/>
      </c>
      <c r="L9">
        <f>IFERROR('Daily Log'!I7,0)</f>
        <v/>
      </c>
    </row>
    <row r="10">
      <c r="A10" s="11" t="inlineStr">
        <is>
          <t>Not Executed</t>
        </is>
      </c>
      <c r="B10" s="12">
        <f>IFERROR(COUNTIF('04 Test Case Repository'!P3:P5000,"Not Run"),0)</f>
        <v/>
      </c>
      <c r="F10" t="inlineStr">
        <is>
          <t>Critical</t>
        </is>
      </c>
      <c r="G10">
        <f>IFERROR(B12,0)</f>
        <v/>
      </c>
      <c r="I10">
        <f>IFERROR('Daily Log'!A8,"")</f>
        <v/>
      </c>
      <c r="J10">
        <f>IFERROR('Daily Log'!C8,0)</f>
        <v/>
      </c>
      <c r="K10">
        <f>IFERROR('Daily Log'!D8,0)</f>
        <v/>
      </c>
      <c r="L10">
        <f>IFERROR('Daily Log'!I8,0)</f>
        <v/>
      </c>
    </row>
    <row r="11">
      <c r="A11" s="11" t="inlineStr">
        <is>
          <t>In Progress</t>
        </is>
      </c>
      <c r="B11" s="12">
        <f>IFERROR(COUNTIF('04 Test Case Repository'!Q3:Q5000,"In Progress"),0)</f>
        <v/>
      </c>
      <c r="F11" t="inlineStr">
        <is>
          <t>High</t>
        </is>
      </c>
      <c r="G11">
        <f>IFERROR(B13,0)</f>
        <v/>
      </c>
      <c r="I11">
        <f>IFERROR('Daily Log'!A9,"")</f>
        <v/>
      </c>
      <c r="J11">
        <f>IFERROR('Daily Log'!C9,0)</f>
        <v/>
      </c>
      <c r="K11">
        <f>IFERROR('Daily Log'!D9,0)</f>
        <v/>
      </c>
      <c r="L11">
        <f>IFERROR('Daily Log'!I9,0)</f>
        <v/>
      </c>
    </row>
    <row r="12">
      <c r="A12" s="11" t="inlineStr">
        <is>
          <t>Critical Bugs</t>
        </is>
      </c>
      <c r="B12" s="12">
        <f>IFERROR(COUNTIFS('06 Bug Tracker'!J3:J5000,"Critical",'06 Bug Tracker'!L3:L5000,"&lt;&gt;Closed"),0)</f>
        <v/>
      </c>
      <c r="F12" t="inlineStr">
        <is>
          <t>Medium</t>
        </is>
      </c>
      <c r="G12">
        <f>IFERROR(B14,0)</f>
        <v/>
      </c>
    </row>
    <row r="13">
      <c r="A13" s="11" t="inlineStr">
        <is>
          <t>High Bugs</t>
        </is>
      </c>
      <c r="B13" s="12">
        <f>IFERROR(COUNTIFS('06 Bug Tracker'!J3:J5000,"High",'06 Bug Tracker'!L3:L5000,"&lt;&gt;Closed"),0)</f>
        <v/>
      </c>
      <c r="F13" t="inlineStr">
        <is>
          <t>Low</t>
        </is>
      </c>
      <c r="G13">
        <f>IFERROR(B15,0)</f>
        <v/>
      </c>
    </row>
    <row r="14">
      <c r="A14" s="11" t="inlineStr">
        <is>
          <t>Medium Bugs</t>
        </is>
      </c>
      <c r="B14" s="12">
        <f>IFERROR(COUNTIFS('06 Bug Tracker'!J3:J5000,"Medium",'06 Bug Tracker'!L3:L5000,"&lt;&gt;Closed"),0)</f>
        <v/>
      </c>
    </row>
    <row r="15">
      <c r="A15" s="11" t="inlineStr">
        <is>
          <t>Low Bugs</t>
        </is>
      </c>
      <c r="B15" s="12">
        <f>IFERROR(COUNTIFS('06 Bug Tracker'!J3:J5000,"Low",'06 Bug Tracker'!L3:L5000,"&lt;&gt;Closed"),0)</f>
        <v/>
      </c>
      <c r="F15" s="10" t="inlineStr">
        <is>
          <t>Module</t>
        </is>
      </c>
      <c r="G15" s="10" t="inlineStr">
        <is>
          <t>Completion %</t>
        </is>
      </c>
    </row>
    <row r="16">
      <c r="A16" s="11" t="inlineStr">
        <is>
          <t>Overall Pass %</t>
        </is>
      </c>
      <c r="B16" s="15">
        <f>IFERROR(IF((B7+B8+B9)=0,0,B7/(B7+B8+B9)),0)</f>
        <v/>
      </c>
      <c r="F16" t="inlineStr">
        <is>
          <t>Auth &amp; Onboarding</t>
        </is>
      </c>
      <c r="G16" s="16">
        <f>IFERROR(IF('02 Module Master'!I3=0,0,'02 Module Master'!J3/'02 Module Master'!I3),0)</f>
        <v/>
      </c>
    </row>
    <row r="17">
      <c r="A17" s="11" t="inlineStr">
        <is>
          <t>Overall Fail %</t>
        </is>
      </c>
      <c r="B17" s="15">
        <f>IFERROR(IF((B7+B8+B9)=0,0,B8/(B7+B8+B9)),0)</f>
        <v/>
      </c>
      <c r="F17" t="inlineStr">
        <is>
          <t>Dashboard</t>
        </is>
      </c>
      <c r="G17" s="16">
        <f>IFERROR(IF('02 Module Master'!I4=0,0,'02 Module Master'!J4/'02 Module Master'!I4),0)</f>
        <v/>
      </c>
    </row>
    <row r="18">
      <c r="A18" s="11" t="inlineStr">
        <is>
          <t>QA Progress %</t>
        </is>
      </c>
      <c r="B18" s="15">
        <f>IFERROR(IF(B6=0,0,(B7+B8+B9+B11)/B6),0)</f>
        <v/>
      </c>
      <c r="F18" t="inlineStr">
        <is>
          <t>Live Practice Coach</t>
        </is>
      </c>
      <c r="G18" s="16">
        <f>IFERROR(IF('02 Module Master'!I5=0,0,'02 Module Master'!J5/'02 Module Master'!I5),0)</f>
        <v/>
      </c>
    </row>
    <row r="19">
      <c r="A19" s="11" t="inlineStr">
        <is>
          <t>Production Readiness %</t>
        </is>
      </c>
      <c r="B19" s="15">
        <f>IFERROR(AVERAGEIF('19 Production Readiness'!A3:A5000,"&lt;&gt;",'19 Production Readiness'!R3:R5000),0)</f>
        <v/>
      </c>
      <c r="F19" t="inlineStr">
        <is>
          <t>Mock Interview</t>
        </is>
      </c>
      <c r="G19" s="16">
        <f>IFERROR(IF('02 Module Master'!I6=0,0,'02 Module Master'!J6/'02 Module Master'!I6),0)</f>
        <v/>
      </c>
    </row>
    <row r="20">
      <c r="A20" s="11" t="inlineStr">
        <is>
          <t>Est Hours (Total)</t>
        </is>
      </c>
      <c r="B20" s="17">
        <f>IFERROR(SUM('04 Test Case Repository'!T3:T5000),0)</f>
        <v/>
      </c>
      <c r="F20" t="inlineStr">
        <is>
          <t>Sessions &amp; Debriefs</t>
        </is>
      </c>
      <c r="G20" s="16">
        <f>IFERROR(IF('02 Module Master'!I7=0,0,'02 Module Master'!J7/'02 Module Master'!I7),0)</f>
        <v/>
      </c>
    </row>
    <row r="21">
      <c r="A21" s="11" t="inlineStr">
        <is>
          <t>Actual Hours (Total)</t>
        </is>
      </c>
      <c r="B21" s="17">
        <f>IFERROR(SUM('04 Test Case Repository'!U3:U5000),0)</f>
        <v/>
      </c>
      <c r="F21" t="inlineStr">
        <is>
          <t>Analytics &amp; Usage</t>
        </is>
      </c>
      <c r="G21" s="16">
        <f>IFERROR(IF('02 Module Master'!I8=0,0,'02 Module Master'!J8/'02 Module Master'!I8),0)</f>
        <v/>
      </c>
    </row>
    <row r="22">
      <c r="A22" s="11" t="inlineStr">
        <is>
          <t>Hours Variance</t>
        </is>
      </c>
      <c r="B22" s="17">
        <f>IFERROR(B21-B20,0)</f>
        <v/>
      </c>
      <c r="F22" t="inlineStr">
        <is>
          <t>Prep Lab</t>
        </is>
      </c>
      <c r="G22" s="16">
        <f>IFERROR(IF('02 Module Master'!I9=0,0,'02 Module Master'!J9/'02 Module Master'!I9),0)</f>
        <v/>
      </c>
    </row>
    <row r="23">
      <c r="A23" s="11" t="inlineStr">
        <is>
          <t>QA Team Size</t>
        </is>
      </c>
      <c r="B23" s="12">
        <f>IFERROR(COUNTA('QA Team'!A3:A50)-COUNTIF('QA Team'!A3:A50,"TOTAL"),0)</f>
        <v/>
      </c>
      <c r="F23" t="inlineStr">
        <is>
          <t>Documents &amp; Resumes</t>
        </is>
      </c>
      <c r="G23" s="16">
        <f>IFERROR(IF('02 Module Master'!I10=0,0,'02 Module Master'!J10/'02 Module Master'!I10),0)</f>
        <v/>
      </c>
    </row>
    <row r="24">
      <c r="F24" t="inlineStr">
        <is>
          <t>Answer Bank</t>
        </is>
      </c>
      <c r="G24" s="16">
        <f>IFERROR(IF('02 Module Master'!I11=0,0,'02 Module Master'!J11/'02 Module Master'!I11),0)</f>
        <v/>
      </c>
    </row>
    <row r="25">
      <c r="F25" t="inlineStr">
        <is>
          <t>Interviews &amp; Calendar</t>
        </is>
      </c>
      <c r="G25" s="16">
        <f>IFERROR(IF('02 Module Master'!I12=0,0,'02 Module Master'!J12/'02 Module Master'!I12),0)</f>
        <v/>
      </c>
    </row>
    <row r="26">
      <c r="F26" t="inlineStr">
        <is>
          <t>Company Research</t>
        </is>
      </c>
      <c r="G26" s="16">
        <f>IFERROR(IF('02 Module Master'!I13=0,0,'02 Module Master'!J13/'02 Module Master'!I13),0)</f>
        <v/>
      </c>
    </row>
    <row r="27">
      <c r="F27" t="inlineStr">
        <is>
          <t>Notifications &amp; Profile</t>
        </is>
      </c>
      <c r="G27" s="16">
        <f>IFERROR(IF('02 Module Master'!I14=0,0,'02 Module Master'!J14/'02 Module Master'!I14),0)</f>
        <v/>
      </c>
    </row>
    <row r="28">
      <c r="F28" t="inlineStr">
        <is>
          <t>Referrals &amp; Guide</t>
        </is>
      </c>
      <c r="G28" s="16">
        <f>IFERROR(IF('02 Module Master'!I15=0,0,'02 Module Master'!J15/'02 Module Master'!I15),0)</f>
        <v/>
      </c>
    </row>
    <row r="29">
      <c r="F29" t="inlineStr">
        <is>
          <t>Gov Exam Mock Tests</t>
        </is>
      </c>
      <c r="G29" s="16">
        <f>IFERROR(IF('02 Module Master'!I16=0,0,'02 Module Master'!J16/'02 Module Master'!I16),0)</f>
        <v/>
      </c>
    </row>
    <row r="30">
      <c r="F30" t="inlineStr">
        <is>
          <t>Settings</t>
        </is>
      </c>
      <c r="G30" s="16">
        <f>IFERROR(IF('02 Module Master'!I17=0,0,'02 Module Master'!J17/'02 Module Master'!I17),0)</f>
        <v/>
      </c>
    </row>
    <row r="31">
      <c r="F31" t="inlineStr">
        <is>
          <t>Admin Portal</t>
        </is>
      </c>
      <c r="G31" s="16">
        <f>IFERROR(IF('02 Module Master'!I18=0,0,'02 Module Master'!J18/'02 Module Master'!I18),0)</f>
        <v/>
      </c>
    </row>
    <row r="32">
      <c r="F32" t="inlineStr">
        <is>
          <t>Marketing Site</t>
        </is>
      </c>
      <c r="G32" s="16">
        <f>IFERROR(IF('02 Module Master'!I19=0,0,'02 Module Master'!J19/'02 Module Master'!I19),0)</f>
        <v/>
      </c>
    </row>
    <row r="33">
      <c r="F33" t="inlineStr">
        <is>
          <t>Billing &amp; Credits</t>
        </is>
      </c>
      <c r="G33" s="16">
        <f>IFERROR(IF('02 Module Master'!I20=0,0,'02 Module Master'!J20/'02 Module Master'!I20),0)</f>
        <v/>
      </c>
    </row>
    <row r="34">
      <c r="F34" t="inlineStr">
        <is>
          <t>Electron Desktop Overlay</t>
        </is>
      </c>
      <c r="G34" s="16">
        <f>IFERROR(IF('02 Module Master'!I21=0,0,'02 Module Master'!J21/'02 Module Master'!I21),0)</f>
        <v/>
      </c>
    </row>
    <row r="35">
      <c r="F35" t="inlineStr">
        <is>
          <t>Security &amp; Platform</t>
        </is>
      </c>
      <c r="G35" s="16">
        <f>IFERROR(IF('02 Module Master'!I22=0,0,'02 Module Master'!J22/'02 Module Master'!I22),0)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6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20" customWidth="1" min="10" max="10"/>
    <col width="18" customWidth="1" min="11" max="11"/>
    <col width="14" customWidth="1" min="12" max="12"/>
    <col width="14" customWidth="1" min="13" max="13"/>
    <col width="13" customWidth="1" min="14" max="14"/>
    <col width="33" customWidth="1" min="15" max="15"/>
    <col width="31" customWidth="1" min="16" max="16"/>
  </cols>
  <sheetData>
    <row r="1">
      <c r="A1" s="1" t="inlineStr">
        <is>
          <t>Module Master — Clarify AI (20 core modules)</t>
        </is>
      </c>
    </row>
    <row r="2">
      <c r="A2" s="18" t="inlineStr">
        <is>
          <t>Module ID</t>
        </is>
      </c>
      <c r="B2" s="18" t="inlineStr">
        <is>
          <t>Module Name</t>
        </is>
      </c>
      <c r="C2" s="18" t="inlineStr">
        <is>
          <t>Portal</t>
        </is>
      </c>
      <c r="D2" s="18" t="inlineStr">
        <is>
          <t>Description</t>
        </is>
      </c>
      <c r="E2" s="18" t="inlineStr">
        <is>
          <t>Owner</t>
        </is>
      </c>
      <c r="F2" s="18" t="inlineStr">
        <is>
          <t>QA Owner</t>
        </is>
      </c>
      <c r="G2" s="18" t="inlineStr">
        <is>
          <t>Priority</t>
        </is>
      </c>
      <c r="H2" s="18" t="inlineStr">
        <is>
          <t>Status</t>
        </is>
      </c>
      <c r="I2" s="18" t="inlineStr">
        <is>
          <t>Total Features</t>
        </is>
      </c>
      <c r="J2" s="18" t="inlineStr">
        <is>
          <t>Completed Features</t>
        </is>
      </c>
      <c r="K2" s="18" t="inlineStr">
        <is>
          <t>Pending Features</t>
        </is>
      </c>
      <c r="L2" s="18" t="inlineStr">
        <is>
          <t>Est Hours</t>
        </is>
      </c>
      <c r="M2" s="18" t="inlineStr">
        <is>
          <t>Actual Hours</t>
        </is>
      </c>
      <c r="N2" s="18" t="inlineStr">
        <is>
          <t>Criticality</t>
        </is>
      </c>
      <c r="O2" s="18" t="inlineStr">
        <is>
          <t>Dependencies</t>
        </is>
      </c>
      <c r="P2" s="18" t="inlineStr">
        <is>
          <t>Remarks</t>
        </is>
      </c>
    </row>
    <row r="3">
      <c r="A3" s="19" t="inlineStr">
        <is>
          <t>MOD-01</t>
        </is>
      </c>
      <c r="B3" s="19" t="inlineStr">
        <is>
          <t>Auth &amp; Onboarding</t>
        </is>
      </c>
      <c r="C3" s="19" t="inlineStr">
        <is>
          <t>Auth Portal</t>
        </is>
      </c>
      <c r="D3" s="19" t="inlineStr">
        <is>
          <t>Email/OAuth login, MFA, 5-step onboarding</t>
        </is>
      </c>
      <c r="E3" s="19" t="inlineStr">
        <is>
          <t>Auth Lead</t>
        </is>
      </c>
      <c r="F3" s="19" t="inlineStr">
        <is>
          <t>Asha Sharma</t>
        </is>
      </c>
      <c r="G3" s="19" t="inlineStr">
        <is>
          <t>Critical</t>
        </is>
      </c>
      <c r="H3" s="19" t="inlineStr">
        <is>
          <t>In Progress</t>
        </is>
      </c>
      <c r="I3" s="19" t="n">
        <v>8</v>
      </c>
      <c r="J3" s="19" t="n">
        <v>6</v>
      </c>
      <c r="K3" s="19" t="n">
        <v>2</v>
      </c>
      <c r="L3" s="19" t="n">
        <v>20</v>
      </c>
      <c r="M3" s="19" t="n">
        <v>13.2</v>
      </c>
      <c r="N3" s="19" t="inlineStr">
        <is>
          <t>Critical</t>
        </is>
      </c>
      <c r="O3" s="19" t="inlineStr">
        <is>
          <t>—</t>
        </is>
      </c>
      <c r="P3" s="19" t="inlineStr">
        <is>
          <t>Seeded from audit 28 Jul 2026</t>
        </is>
      </c>
    </row>
    <row r="4">
      <c r="A4" s="20" t="inlineStr">
        <is>
          <t>MOD-02</t>
        </is>
      </c>
      <c r="B4" s="20" t="inlineStr">
        <is>
          <t>Dashboard</t>
        </is>
      </c>
      <c r="C4" s="20" t="inlineStr">
        <is>
          <t>Candidate App</t>
        </is>
      </c>
      <c r="D4" s="20" t="inlineStr">
        <is>
          <t>Home KPIs, sessions, credits, upcoming interviews</t>
        </is>
      </c>
      <c r="E4" s="20" t="inlineStr">
        <is>
          <t>Product</t>
        </is>
      </c>
      <c r="F4" s="20" t="inlineStr">
        <is>
          <t>Rohan Mehta</t>
        </is>
      </c>
      <c r="G4" s="20" t="inlineStr">
        <is>
          <t>High</t>
        </is>
      </c>
      <c r="H4" s="20" t="inlineStr">
        <is>
          <t>Completed</t>
        </is>
      </c>
      <c r="I4" s="20" t="n">
        <v>5</v>
      </c>
      <c r="J4" s="20" t="n">
        <v>5</v>
      </c>
      <c r="K4" s="20" t="n">
        <v>0</v>
      </c>
      <c r="L4" s="20" t="n">
        <v>12.5</v>
      </c>
      <c r="M4" s="20" t="n">
        <v>11</v>
      </c>
      <c r="N4" s="20" t="inlineStr">
        <is>
          <t>High</t>
        </is>
      </c>
      <c r="O4" s="20" t="inlineStr">
        <is>
          <t>—</t>
        </is>
      </c>
      <c r="P4" s="20" t="inlineStr">
        <is>
          <t>Seeded from audit 28 Jul 2026</t>
        </is>
      </c>
    </row>
    <row r="5">
      <c r="A5" s="19" t="inlineStr">
        <is>
          <t>MOD-03</t>
        </is>
      </c>
      <c r="B5" s="19" t="inlineStr">
        <is>
          <t>Live Practice Coach</t>
        </is>
      </c>
      <c r="C5" s="19" t="inlineStr">
        <is>
          <t>Candidate App</t>
        </is>
      </c>
      <c r="D5" s="19" t="inlineStr">
        <is>
          <t>Deepgram STT + AI hints/answers + overlay</t>
        </is>
      </c>
      <c r="E5" s="19" t="inlineStr">
        <is>
          <t>Live Coach</t>
        </is>
      </c>
      <c r="F5" s="19" t="inlineStr">
        <is>
          <t>Priya Nair</t>
        </is>
      </c>
      <c r="G5" s="19" t="inlineStr">
        <is>
          <t>Critical</t>
        </is>
      </c>
      <c r="H5" s="19" t="inlineStr">
        <is>
          <t>Completed</t>
        </is>
      </c>
      <c r="I5" s="19" t="n">
        <v>10</v>
      </c>
      <c r="J5" s="19" t="n">
        <v>9</v>
      </c>
      <c r="K5" s="19" t="n">
        <v>1</v>
      </c>
      <c r="L5" s="19" t="n">
        <v>25</v>
      </c>
      <c r="M5" s="19" t="n">
        <v>19.8</v>
      </c>
      <c r="N5" s="19" t="inlineStr">
        <is>
          <t>Critical</t>
        </is>
      </c>
      <c r="O5" s="19" t="inlineStr">
        <is>
          <t>Auth, Billing credits, Deepgram</t>
        </is>
      </c>
      <c r="P5" s="19" t="inlineStr">
        <is>
          <t>Seeded from audit 28 Jul 2026</t>
        </is>
      </c>
    </row>
    <row r="6">
      <c r="A6" s="20" t="inlineStr">
        <is>
          <t>MOD-04</t>
        </is>
      </c>
      <c r="B6" s="20" t="inlineStr">
        <is>
          <t>Mock Interview</t>
        </is>
      </c>
      <c r="C6" s="20" t="inlineStr">
        <is>
          <t>Candidate App</t>
        </is>
      </c>
      <c r="D6" s="20" t="inlineStr">
        <is>
          <t>Timed mock sessions with AI scoring</t>
        </is>
      </c>
      <c r="E6" s="20" t="inlineStr">
        <is>
          <t>Live Coach</t>
        </is>
      </c>
      <c r="F6" s="20" t="inlineStr">
        <is>
          <t>Priya Nair</t>
        </is>
      </c>
      <c r="G6" s="20" t="inlineStr">
        <is>
          <t>High</t>
        </is>
      </c>
      <c r="H6" s="20" t="inlineStr">
        <is>
          <t>In Progress</t>
        </is>
      </c>
      <c r="I6" s="20" t="n">
        <v>7</v>
      </c>
      <c r="J6" s="20" t="n">
        <v>5</v>
      </c>
      <c r="K6" s="20" t="n">
        <v>2</v>
      </c>
      <c r="L6" s="20" t="n">
        <v>17.5</v>
      </c>
      <c r="M6" s="20" t="n">
        <v>11</v>
      </c>
      <c r="N6" s="20" t="inlineStr">
        <is>
          <t>High</t>
        </is>
      </c>
      <c r="O6" s="20" t="inlineStr">
        <is>
          <t>Sessions, Credits</t>
        </is>
      </c>
      <c r="P6" s="20" t="inlineStr">
        <is>
          <t>Seeded from audit 28 Jul 2026</t>
        </is>
      </c>
    </row>
    <row r="7">
      <c r="A7" s="19" t="inlineStr">
        <is>
          <t>MOD-05</t>
        </is>
      </c>
      <c r="B7" s="19" t="inlineStr">
        <is>
          <t>Sessions &amp; Debriefs</t>
        </is>
      </c>
      <c r="C7" s="19" t="inlineStr">
        <is>
          <t>Candidate App</t>
        </is>
      </c>
      <c r="D7" s="19" t="inlineStr">
        <is>
          <t>History, detail, AI debrief, scorecard share</t>
        </is>
      </c>
      <c r="E7" s="19" t="inlineStr">
        <is>
          <t>Sessions</t>
        </is>
      </c>
      <c r="F7" s="19" t="inlineStr">
        <is>
          <t>Priya Nair</t>
        </is>
      </c>
      <c r="G7" s="19" t="inlineStr">
        <is>
          <t>High</t>
        </is>
      </c>
      <c r="H7" s="19" t="inlineStr">
        <is>
          <t>Completed</t>
        </is>
      </c>
      <c r="I7" s="19" t="n">
        <v>6</v>
      </c>
      <c r="J7" s="19" t="n">
        <v>5</v>
      </c>
      <c r="K7" s="19" t="n">
        <v>1</v>
      </c>
      <c r="L7" s="19" t="n">
        <v>15</v>
      </c>
      <c r="M7" s="19" t="n">
        <v>11</v>
      </c>
      <c r="N7" s="19" t="inlineStr">
        <is>
          <t>High</t>
        </is>
      </c>
      <c r="O7" s="19" t="inlineStr">
        <is>
          <t>—</t>
        </is>
      </c>
      <c r="P7" s="19" t="inlineStr">
        <is>
          <t>Seeded from audit 28 Jul 2026</t>
        </is>
      </c>
    </row>
    <row r="8">
      <c r="A8" s="20" t="inlineStr">
        <is>
          <t>MOD-06</t>
        </is>
      </c>
      <c r="B8" s="20" t="inlineStr">
        <is>
          <t>Analytics &amp; Usage</t>
        </is>
      </c>
      <c r="C8" s="20" t="inlineStr">
        <is>
          <t>Candidate App</t>
        </is>
      </c>
      <c r="D8" s="20" t="inlineStr">
        <is>
          <t>Trends, WPM, fillers, credit usage</t>
        </is>
      </c>
      <c r="E8" s="20" t="inlineStr">
        <is>
          <t>Analytics</t>
        </is>
      </c>
      <c r="F8" s="20" t="inlineStr">
        <is>
          <t>Rohan Mehta</t>
        </is>
      </c>
      <c r="G8" s="20" t="inlineStr">
        <is>
          <t>Medium</t>
        </is>
      </c>
      <c r="H8" s="20" t="inlineStr">
        <is>
          <t>Completed</t>
        </is>
      </c>
      <c r="I8" s="20" t="n">
        <v>5</v>
      </c>
      <c r="J8" s="20" t="n">
        <v>5</v>
      </c>
      <c r="K8" s="20" t="n">
        <v>0</v>
      </c>
      <c r="L8" s="20" t="n">
        <v>12.5</v>
      </c>
      <c r="M8" s="20" t="n">
        <v>11</v>
      </c>
      <c r="N8" s="20" t="inlineStr">
        <is>
          <t>Medium</t>
        </is>
      </c>
      <c r="O8" s="20" t="inlineStr">
        <is>
          <t>—</t>
        </is>
      </c>
      <c r="P8" s="20" t="inlineStr">
        <is>
          <t>Seeded from audit 28 Jul 2026</t>
        </is>
      </c>
    </row>
    <row r="9">
      <c r="A9" s="19" t="inlineStr">
        <is>
          <t>MOD-07</t>
        </is>
      </c>
      <c r="B9" s="19" t="inlineStr">
        <is>
          <t>Prep Lab</t>
        </is>
      </c>
      <c r="C9" s="19" t="inlineStr">
        <is>
          <t>Candidate App</t>
        </is>
      </c>
      <c r="D9" s="19" t="inlineStr">
        <is>
          <t>STAR, rephraser, polish, company Qs</t>
        </is>
      </c>
      <c r="E9" s="19" t="inlineStr">
        <is>
          <t>Prep</t>
        </is>
      </c>
      <c r="F9" s="19" t="inlineStr">
        <is>
          <t>Asha Sharma</t>
        </is>
      </c>
      <c r="G9" s="19" t="inlineStr">
        <is>
          <t>High</t>
        </is>
      </c>
      <c r="H9" s="19" t="inlineStr">
        <is>
          <t>Completed</t>
        </is>
      </c>
      <c r="I9" s="19" t="n">
        <v>7</v>
      </c>
      <c r="J9" s="19" t="n">
        <v>7</v>
      </c>
      <c r="K9" s="19" t="n">
        <v>0</v>
      </c>
      <c r="L9" s="19" t="n">
        <v>17.5</v>
      </c>
      <c r="M9" s="19" t="n">
        <v>15.4</v>
      </c>
      <c r="N9" s="19" t="inlineStr">
        <is>
          <t>High</t>
        </is>
      </c>
      <c r="O9" s="19" t="inlineStr">
        <is>
          <t>—</t>
        </is>
      </c>
      <c r="P9" s="19" t="inlineStr">
        <is>
          <t>Seeded from audit 28 Jul 2026</t>
        </is>
      </c>
    </row>
    <row r="10">
      <c r="A10" s="20" t="inlineStr">
        <is>
          <t>MOD-08</t>
        </is>
      </c>
      <c r="B10" s="20" t="inlineStr">
        <is>
          <t>Documents &amp; Resumes</t>
        </is>
      </c>
      <c r="C10" s="20" t="inlineStr">
        <is>
          <t>Candidate App</t>
        </is>
      </c>
      <c r="D10" s="20" t="inlineStr">
        <is>
          <t>Upload, parse-resume, gap analysis, OCR</t>
        </is>
      </c>
      <c r="E10" s="20" t="inlineStr">
        <is>
          <t>Docs</t>
        </is>
      </c>
      <c r="F10" s="20" t="inlineStr">
        <is>
          <t>Priya Nair</t>
        </is>
      </c>
      <c r="G10" s="20" t="inlineStr">
        <is>
          <t>High</t>
        </is>
      </c>
      <c r="H10" s="20" t="inlineStr">
        <is>
          <t>Completed</t>
        </is>
      </c>
      <c r="I10" s="20" t="n">
        <v>6</v>
      </c>
      <c r="J10" s="20" t="n">
        <v>5</v>
      </c>
      <c r="K10" s="20" t="n">
        <v>1</v>
      </c>
      <c r="L10" s="20" t="n">
        <v>15</v>
      </c>
      <c r="M10" s="20" t="n">
        <v>11</v>
      </c>
      <c r="N10" s="20" t="inlineStr">
        <is>
          <t>High</t>
        </is>
      </c>
      <c r="O10" s="20" t="inlineStr">
        <is>
          <t>Credits (parse-resume)</t>
        </is>
      </c>
      <c r="P10" s="20" t="inlineStr">
        <is>
          <t>Seeded from audit 28 Jul 2026</t>
        </is>
      </c>
    </row>
    <row r="11">
      <c r="A11" s="19" t="inlineStr">
        <is>
          <t>MOD-09</t>
        </is>
      </c>
      <c r="B11" s="19" t="inlineStr">
        <is>
          <t>Answer Bank</t>
        </is>
      </c>
      <c r="C11" s="19" t="inlineStr">
        <is>
          <t>Candidate App</t>
        </is>
      </c>
      <c r="D11" s="19" t="inlineStr">
        <is>
          <t>STAR library + AI generate via prep-tool</t>
        </is>
      </c>
      <c r="E11" s="19" t="inlineStr">
        <is>
          <t>Prep</t>
        </is>
      </c>
      <c r="F11" s="19" t="inlineStr">
        <is>
          <t>Asha Sharma</t>
        </is>
      </c>
      <c r="G11" s="19" t="inlineStr">
        <is>
          <t>Medium</t>
        </is>
      </c>
      <c r="H11" s="19" t="inlineStr">
        <is>
          <t>In Progress</t>
        </is>
      </c>
      <c r="I11" s="19" t="n">
        <v>4</v>
      </c>
      <c r="J11" s="19" t="n">
        <v>3</v>
      </c>
      <c r="K11" s="19" t="n">
        <v>1</v>
      </c>
      <c r="L11" s="19" t="n">
        <v>10</v>
      </c>
      <c r="M11" s="19" t="n">
        <v>6.6</v>
      </c>
      <c r="N11" s="19" t="inlineStr">
        <is>
          <t>Medium</t>
        </is>
      </c>
      <c r="O11" s="19" t="inlineStr">
        <is>
          <t>—</t>
        </is>
      </c>
      <c r="P11" s="19" t="inlineStr">
        <is>
          <t>Seeded from audit 28 Jul 2026</t>
        </is>
      </c>
    </row>
    <row r="12">
      <c r="A12" s="20" t="inlineStr">
        <is>
          <t>MOD-10</t>
        </is>
      </c>
      <c r="B12" s="20" t="inlineStr">
        <is>
          <t>Interviews &amp; Calendar</t>
        </is>
      </c>
      <c r="C12" s="20" t="inlineStr">
        <is>
          <t>Candidate App</t>
        </is>
      </c>
      <c r="D12" s="20" t="inlineStr">
        <is>
          <t>Manual interviews + Google Calendar sync</t>
        </is>
      </c>
      <c r="E12" s="20" t="inlineStr">
        <is>
          <t>Scheduling</t>
        </is>
      </c>
      <c r="F12" s="20" t="inlineStr">
        <is>
          <t>Rohan Mehta</t>
        </is>
      </c>
      <c r="G12" s="20" t="inlineStr">
        <is>
          <t>High</t>
        </is>
      </c>
      <c r="H12" s="20" t="inlineStr">
        <is>
          <t>In Progress</t>
        </is>
      </c>
      <c r="I12" s="20" t="n">
        <v>6</v>
      </c>
      <c r="J12" s="20" t="n">
        <v>4</v>
      </c>
      <c r="K12" s="20" t="n">
        <v>2</v>
      </c>
      <c r="L12" s="20" t="n">
        <v>15</v>
      </c>
      <c r="M12" s="20" t="n">
        <v>8.800000000000001</v>
      </c>
      <c r="N12" s="20" t="inlineStr">
        <is>
          <t>High</t>
        </is>
      </c>
      <c r="O12" s="20" t="inlineStr">
        <is>
          <t>—</t>
        </is>
      </c>
      <c r="P12" s="20" t="inlineStr">
        <is>
          <t>Seeded from audit 28 Jul 2026</t>
        </is>
      </c>
    </row>
    <row r="13">
      <c r="A13" s="19" t="inlineStr">
        <is>
          <t>MOD-11</t>
        </is>
      </c>
      <c r="B13" s="19" t="inlineStr">
        <is>
          <t>Company Research</t>
        </is>
      </c>
      <c r="C13" s="19" t="inlineStr">
        <is>
          <t>Candidate App</t>
        </is>
      </c>
      <c r="D13" s="19" t="inlineStr">
        <is>
          <t>AI company brief + per-user cache</t>
        </is>
      </c>
      <c r="E13" s="19" t="inlineStr">
        <is>
          <t>Prep</t>
        </is>
      </c>
      <c r="F13" s="19" t="inlineStr">
        <is>
          <t>Asha Sharma</t>
        </is>
      </c>
      <c r="G13" s="19" t="inlineStr">
        <is>
          <t>Medium</t>
        </is>
      </c>
      <c r="H13" s="19" t="inlineStr">
        <is>
          <t>Completed</t>
        </is>
      </c>
      <c r="I13" s="19" t="n">
        <v>3</v>
      </c>
      <c r="J13" s="19" t="n">
        <v>3</v>
      </c>
      <c r="K13" s="19" t="n">
        <v>0</v>
      </c>
      <c r="L13" s="19" t="n">
        <v>7.5</v>
      </c>
      <c r="M13" s="19" t="n">
        <v>6.6</v>
      </c>
      <c r="N13" s="19" t="inlineStr">
        <is>
          <t>Medium</t>
        </is>
      </c>
      <c r="O13" s="19" t="inlineStr">
        <is>
          <t>—</t>
        </is>
      </c>
      <c r="P13" s="19" t="inlineStr">
        <is>
          <t>Seeded from audit 28 Jul 2026</t>
        </is>
      </c>
    </row>
    <row r="14">
      <c r="A14" s="20" t="inlineStr">
        <is>
          <t>MOD-12</t>
        </is>
      </c>
      <c r="B14" s="20" t="inlineStr">
        <is>
          <t>Notifications &amp; Profile</t>
        </is>
      </c>
      <c r="C14" s="20" t="inlineStr">
        <is>
          <t>Candidate App</t>
        </is>
      </c>
      <c r="D14" s="20" t="inlineStr">
        <is>
          <t>Realtime notifications, XP/streak/badges</t>
        </is>
      </c>
      <c r="E14" s="20" t="inlineStr">
        <is>
          <t>Growth</t>
        </is>
      </c>
      <c r="F14" s="20" t="inlineStr">
        <is>
          <t>Rohan Mehta</t>
        </is>
      </c>
      <c r="G14" s="20" t="inlineStr">
        <is>
          <t>Medium</t>
        </is>
      </c>
      <c r="H14" s="20" t="inlineStr">
        <is>
          <t>In Progress</t>
        </is>
      </c>
      <c r="I14" s="20" t="n">
        <v>5</v>
      </c>
      <c r="J14" s="20" t="n">
        <v>3</v>
      </c>
      <c r="K14" s="20" t="n">
        <v>2</v>
      </c>
      <c r="L14" s="20" t="n">
        <v>12.5</v>
      </c>
      <c r="M14" s="20" t="n">
        <v>6.6</v>
      </c>
      <c r="N14" s="20" t="inlineStr">
        <is>
          <t>Medium</t>
        </is>
      </c>
      <c r="O14" s="20" t="inlineStr">
        <is>
          <t>—</t>
        </is>
      </c>
      <c r="P14" s="20" t="inlineStr">
        <is>
          <t>Seeded from audit 28 Jul 2026</t>
        </is>
      </c>
    </row>
    <row r="15">
      <c r="A15" s="19" t="inlineStr">
        <is>
          <t>MOD-13</t>
        </is>
      </c>
      <c r="B15" s="19" t="inlineStr">
        <is>
          <t>Referrals &amp; Guide</t>
        </is>
      </c>
      <c r="C15" s="19" t="inlineStr">
        <is>
          <t>Candidate App</t>
        </is>
      </c>
      <c r="D15" s="19" t="inlineStr">
        <is>
          <t>Referral credits + in-app guide</t>
        </is>
      </c>
      <c r="E15" s="19" t="inlineStr">
        <is>
          <t>Growth</t>
        </is>
      </c>
      <c r="F15" s="19" t="inlineStr">
        <is>
          <t>Rohan Mehta</t>
        </is>
      </c>
      <c r="G15" s="19" t="inlineStr">
        <is>
          <t>Low</t>
        </is>
      </c>
      <c r="H15" s="19" t="inlineStr">
        <is>
          <t>Completed</t>
        </is>
      </c>
      <c r="I15" s="19" t="n">
        <v>3</v>
      </c>
      <c r="J15" s="19" t="n">
        <v>3</v>
      </c>
      <c r="K15" s="19" t="n">
        <v>0</v>
      </c>
      <c r="L15" s="19" t="n">
        <v>7.5</v>
      </c>
      <c r="M15" s="19" t="n">
        <v>6.6</v>
      </c>
      <c r="N15" s="19" t="inlineStr">
        <is>
          <t>Low</t>
        </is>
      </c>
      <c r="O15" s="19" t="inlineStr">
        <is>
          <t>—</t>
        </is>
      </c>
      <c r="P15" s="19" t="inlineStr">
        <is>
          <t>Seeded from audit 28 Jul 2026</t>
        </is>
      </c>
    </row>
    <row r="16">
      <c r="A16" s="20" t="inlineStr">
        <is>
          <t>MOD-14</t>
        </is>
      </c>
      <c r="B16" s="20" t="inlineStr">
        <is>
          <t>Gov Exam Mock Tests</t>
        </is>
      </c>
      <c r="C16" s="20" t="inlineStr">
        <is>
          <t>Candidate App</t>
        </is>
      </c>
      <c r="D16" s="20" t="inlineStr">
        <is>
          <t>India gov/competitive MCQ engine</t>
        </is>
      </c>
      <c r="E16" s="20" t="inlineStr">
        <is>
          <t>GovExams</t>
        </is>
      </c>
      <c r="F16" s="20" t="inlineStr">
        <is>
          <t>Rohan Mehta</t>
        </is>
      </c>
      <c r="G16" s="20" t="inlineStr">
        <is>
          <t>Critical</t>
        </is>
      </c>
      <c r="H16" s="20" t="inlineStr">
        <is>
          <t>In Progress</t>
        </is>
      </c>
      <c r="I16" s="20" t="n">
        <v>9</v>
      </c>
      <c r="J16" s="20" t="n">
        <v>6</v>
      </c>
      <c r="K16" s="20" t="n">
        <v>3</v>
      </c>
      <c r="L16" s="20" t="n">
        <v>22.5</v>
      </c>
      <c r="M16" s="20" t="n">
        <v>13.2</v>
      </c>
      <c r="N16" s="20" t="inlineStr">
        <is>
          <t>Critical</t>
        </is>
      </c>
      <c r="O16" s="20" t="inlineStr">
        <is>
          <t>Admin question bank</t>
        </is>
      </c>
      <c r="P16" s="20" t="inlineStr">
        <is>
          <t>Seeded from audit 28 Jul 2026</t>
        </is>
      </c>
    </row>
    <row r="17">
      <c r="A17" s="19" t="inlineStr">
        <is>
          <t>MOD-15</t>
        </is>
      </c>
      <c r="B17" s="19" t="inlineStr">
        <is>
          <t>Settings</t>
        </is>
      </c>
      <c r="C17" s="19" t="inlineStr">
        <is>
          <t>Candidate App</t>
        </is>
      </c>
      <c r="D17" s="19" t="inlineStr">
        <is>
          <t>Billing, audio, models, security, integrations</t>
        </is>
      </c>
      <c r="E17" s="19" t="inlineStr">
        <is>
          <t>Platform</t>
        </is>
      </c>
      <c r="F17" s="19" t="inlineStr">
        <is>
          <t>Asha Sharma</t>
        </is>
      </c>
      <c r="G17" s="19" t="inlineStr">
        <is>
          <t>High</t>
        </is>
      </c>
      <c r="H17" s="19" t="inlineStr">
        <is>
          <t>In Progress</t>
        </is>
      </c>
      <c r="I17" s="19" t="n">
        <v>12</v>
      </c>
      <c r="J17" s="19" t="n">
        <v>8</v>
      </c>
      <c r="K17" s="19" t="n">
        <v>4</v>
      </c>
      <c r="L17" s="19" t="n">
        <v>30</v>
      </c>
      <c r="M17" s="19" t="n">
        <v>17.6</v>
      </c>
      <c r="N17" s="19" t="inlineStr">
        <is>
          <t>High</t>
        </is>
      </c>
      <c r="O17" s="19" t="inlineStr">
        <is>
          <t>—</t>
        </is>
      </c>
      <c r="P17" s="19" t="inlineStr">
        <is>
          <t>Seeded from audit 28 Jul 2026</t>
        </is>
      </c>
    </row>
    <row r="18">
      <c r="A18" s="20" t="inlineStr">
        <is>
          <t>MOD-16</t>
        </is>
      </c>
      <c r="B18" s="20" t="inlineStr">
        <is>
          <t>Admin Portal</t>
        </is>
      </c>
      <c r="C18" s="20" t="inlineStr">
        <is>
          <t>Admin Portal</t>
        </is>
      </c>
      <c r="D18" s="20" t="inlineStr">
        <is>
          <t>Users, revenue, questions, flags, support</t>
        </is>
      </c>
      <c r="E18" s="20" t="inlineStr">
        <is>
          <t>Admin</t>
        </is>
      </c>
      <c r="F18" s="20" t="inlineStr">
        <is>
          <t>Rohan Mehta</t>
        </is>
      </c>
      <c r="G18" s="20" t="inlineStr">
        <is>
          <t>Critical</t>
        </is>
      </c>
      <c r="H18" s="20" t="inlineStr">
        <is>
          <t>In Progress</t>
        </is>
      </c>
      <c r="I18" s="20" t="n">
        <v>15</v>
      </c>
      <c r="J18" s="20" t="n">
        <v>10</v>
      </c>
      <c r="K18" s="20" t="n">
        <v>5</v>
      </c>
      <c r="L18" s="20" t="n">
        <v>37.5</v>
      </c>
      <c r="M18" s="20" t="n">
        <v>22</v>
      </c>
      <c r="N18" s="20" t="inlineStr">
        <is>
          <t>Critical</t>
        </is>
      </c>
      <c r="O18" s="20" t="inlineStr">
        <is>
          <t>RLS admin role</t>
        </is>
      </c>
      <c r="P18" s="20" t="inlineStr">
        <is>
          <t>Seeded from audit 28 Jul 2026</t>
        </is>
      </c>
    </row>
    <row r="19">
      <c r="A19" s="19" t="inlineStr">
        <is>
          <t>MOD-17</t>
        </is>
      </c>
      <c r="B19" s="19" t="inlineStr">
        <is>
          <t>Marketing Site</t>
        </is>
      </c>
      <c r="C19" s="19" t="inlineStr">
        <is>
          <t>Marketing Portal</t>
        </is>
      </c>
      <c r="D19" s="19" t="inlineStr">
        <is>
          <t>Landing, pricing, blog, help, legal</t>
        </is>
      </c>
      <c r="E19" s="19" t="inlineStr">
        <is>
          <t>Growth</t>
        </is>
      </c>
      <c r="F19" s="19" t="inlineStr">
        <is>
          <t>Kavya Iyer</t>
        </is>
      </c>
      <c r="G19" s="19" t="inlineStr">
        <is>
          <t>Medium</t>
        </is>
      </c>
      <c r="H19" s="19" t="inlineStr">
        <is>
          <t>Completed</t>
        </is>
      </c>
      <c r="I19" s="19" t="n">
        <v>8</v>
      </c>
      <c r="J19" s="19" t="n">
        <v>8</v>
      </c>
      <c r="K19" s="19" t="n">
        <v>0</v>
      </c>
      <c r="L19" s="19" t="n">
        <v>20</v>
      </c>
      <c r="M19" s="19" t="n">
        <v>17.6</v>
      </c>
      <c r="N19" s="19" t="inlineStr">
        <is>
          <t>Medium</t>
        </is>
      </c>
      <c r="O19" s="19" t="inlineStr">
        <is>
          <t>—</t>
        </is>
      </c>
      <c r="P19" s="19" t="inlineStr">
        <is>
          <t>Seeded from audit 28 Jul 2026</t>
        </is>
      </c>
    </row>
    <row r="20">
      <c r="A20" s="20" t="inlineStr">
        <is>
          <t>MOD-18</t>
        </is>
      </c>
      <c r="B20" s="20" t="inlineStr">
        <is>
          <t>Billing &amp; Credits</t>
        </is>
      </c>
      <c r="C20" s="20" t="inlineStr">
        <is>
          <t>Candidate App</t>
        </is>
      </c>
      <c r="D20" s="20" t="inlineStr">
        <is>
          <t>Stripe/Razorpay, packs, ledger, plan gates</t>
        </is>
      </c>
      <c r="E20" s="20" t="inlineStr">
        <is>
          <t>Billing</t>
        </is>
      </c>
      <c r="F20" s="20" t="inlineStr">
        <is>
          <t>Asha Sharma</t>
        </is>
      </c>
      <c r="G20" s="20" t="inlineStr">
        <is>
          <t>Critical</t>
        </is>
      </c>
      <c r="H20" s="20" t="inlineStr">
        <is>
          <t>Completed</t>
        </is>
      </c>
      <c r="I20" s="20" t="n">
        <v>10</v>
      </c>
      <c r="J20" s="20" t="n">
        <v>9</v>
      </c>
      <c r="K20" s="20" t="n">
        <v>1</v>
      </c>
      <c r="L20" s="20" t="n">
        <v>25</v>
      </c>
      <c r="M20" s="20" t="n">
        <v>19.8</v>
      </c>
      <c r="N20" s="20" t="inlineStr">
        <is>
          <t>Critical</t>
        </is>
      </c>
      <c r="O20" s="20" t="inlineStr">
        <is>
          <t>Stripe/Razorpay secrets</t>
        </is>
      </c>
      <c r="P20" s="20" t="inlineStr">
        <is>
          <t>Seeded from audit 28 Jul 2026</t>
        </is>
      </c>
    </row>
    <row r="21">
      <c r="A21" s="19" t="inlineStr">
        <is>
          <t>MOD-19</t>
        </is>
      </c>
      <c r="B21" s="19" t="inlineStr">
        <is>
          <t>Electron Desktop Overlay</t>
        </is>
      </c>
      <c r="C21" s="19" t="inlineStr">
        <is>
          <t>Electron Overlay</t>
        </is>
      </c>
      <c r="D21" s="19" t="inlineStr">
        <is>
          <t>Always-on-top overlay, hotkeys, window state</t>
        </is>
      </c>
      <c r="E21" s="19" t="inlineStr">
        <is>
          <t>Desktop</t>
        </is>
      </c>
      <c r="F21" s="19" t="inlineStr">
        <is>
          <t>Dev Patel</t>
        </is>
      </c>
      <c r="G21" s="19" t="inlineStr">
        <is>
          <t>Critical</t>
        </is>
      </c>
      <c r="H21" s="19" t="inlineStr">
        <is>
          <t>In Progress</t>
        </is>
      </c>
      <c r="I21" s="19" t="n">
        <v>6</v>
      </c>
      <c r="J21" s="19" t="n">
        <v>4</v>
      </c>
      <c r="K21" s="19" t="n">
        <v>2</v>
      </c>
      <c r="L21" s="19" t="n">
        <v>15</v>
      </c>
      <c r="M21" s="19" t="n">
        <v>8.800000000000001</v>
      </c>
      <c r="N21" s="19" t="inlineStr">
        <is>
          <t>Critical</t>
        </is>
      </c>
      <c r="O21" s="19" t="inlineStr">
        <is>
          <t>Live Practice Coach</t>
        </is>
      </c>
      <c r="P21" s="19" t="inlineStr">
        <is>
          <t>Seeded from audit 28 Jul 2026</t>
        </is>
      </c>
    </row>
    <row r="22">
      <c r="A22" s="20" t="inlineStr">
        <is>
          <t>MOD-20</t>
        </is>
      </c>
      <c r="B22" s="20" t="inlineStr">
        <is>
          <t>Security &amp; Platform</t>
        </is>
      </c>
      <c r="C22" s="20" t="inlineStr">
        <is>
          <t>All Portals</t>
        </is>
      </c>
      <c r="D22" s="20" t="inlineStr">
        <is>
          <t>RLS, webhooks, rate limits, CI, observability</t>
        </is>
      </c>
      <c r="E22" s="20" t="inlineStr">
        <is>
          <t>Platform</t>
        </is>
      </c>
      <c r="F22" s="20" t="inlineStr">
        <is>
          <t>Dev Patel</t>
        </is>
      </c>
      <c r="G22" s="20" t="inlineStr">
        <is>
          <t>Critical</t>
        </is>
      </c>
      <c r="H22" s="20" t="inlineStr">
        <is>
          <t>In Progress</t>
        </is>
      </c>
      <c r="I22" s="20" t="n">
        <v>8</v>
      </c>
      <c r="J22" s="20" t="n">
        <v>5</v>
      </c>
      <c r="K22" s="20" t="n">
        <v>3</v>
      </c>
      <c r="L22" s="20" t="n">
        <v>20</v>
      </c>
      <c r="M22" s="20" t="n">
        <v>11</v>
      </c>
      <c r="N22" s="20" t="inlineStr">
        <is>
          <t>Critical</t>
        </is>
      </c>
      <c r="O22" s="20" t="inlineStr">
        <is>
          <t>—</t>
        </is>
      </c>
      <c r="P22" s="20" t="inlineStr">
        <is>
          <t>Seeded from audit 28 Jul 2026</t>
        </is>
      </c>
    </row>
    <row r="23">
      <c r="A23" s="21" t="inlineStr">
        <is>
          <t>TOTAL</t>
        </is>
      </c>
      <c r="B23" s="19" t="n"/>
      <c r="C23" s="19" t="n"/>
      <c r="D23" s="19" t="n"/>
      <c r="E23" s="19" t="n"/>
      <c r="F23" s="19" t="n"/>
      <c r="G23" s="19" t="n"/>
      <c r="H23" s="19" t="n"/>
      <c r="I23" s="21">
        <f>SUM(I3:I22)</f>
        <v/>
      </c>
      <c r="J23" s="21">
        <f>SUM(J3:J22)</f>
        <v/>
      </c>
      <c r="K23" s="21">
        <f>SUM(K3:K22)</f>
        <v/>
      </c>
      <c r="L23" s="21">
        <f>SUM(L3:L22)</f>
        <v/>
      </c>
      <c r="M23" s="21">
        <f>SUM(M3:M22)</f>
        <v/>
      </c>
      <c r="N23" s="19" t="n"/>
      <c r="O23" s="19" t="n"/>
      <c r="P23" s="19" t="n"/>
    </row>
  </sheetData>
  <autoFilter ref="A2:P2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N3:N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H3:H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6">
    <dataValidation sqref="C3:C5000" showDropDown="0" showInputMessage="0" showErrorMessage="0" allowBlank="1" errorTitle="Invalid" error="Pick a value from the list" type="list">
      <formula1>Lists!$AA$2:$AA$7</formula1>
    </dataValidation>
    <dataValidation sqref="E3:E5000" showDropDown="0" showInputMessage="0" showErrorMessage="0" allowBlank="1" errorTitle="Invalid" error="Pick a value from the list" type="list">
      <formula1>Lists!$AD$2:$AD$17</formula1>
    </dataValidation>
    <dataValidation sqref="F3:F5000" showDropDown="0" showInputMessage="0" showErrorMessage="0" allowBlank="1" errorTitle="Invalid" error="Pick a value from the list" type="list">
      <formula1>Lists!$AC$2:$AC$6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Lists!$AG$2:$AG$6</formula1>
    </dataValidation>
    <dataValidation sqref="N3:N5000" showDropDown="0" showInputMessage="0" showErrorMessage="0" allowBlank="1" errorTitle="Invalid" error="Pick a value from the list" type="list">
      <formula1>Lists!$M$2:$M$5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14" customWidth="1" min="18" max="18"/>
    <col width="28" customWidth="1" min="19" max="19"/>
  </cols>
  <sheetData>
    <row r="1">
      <c r="A1" s="1" t="inlineStr">
        <is>
          <t>Feature Inventory — coverage matrix</t>
        </is>
      </c>
    </row>
    <row r="2">
      <c r="A2" s="18" t="inlineStr">
        <is>
          <t>Feature ID</t>
        </is>
      </c>
      <c r="B2" s="18" t="inlineStr">
        <is>
          <t>Module</t>
        </is>
      </c>
      <c r="C2" s="18" t="inlineStr">
        <is>
          <t>Feature Name</t>
        </is>
      </c>
      <c r="D2" s="18" t="inlineStr">
        <is>
          <t>Description</t>
        </is>
      </c>
      <c r="E2" s="18" t="inlineStr">
        <is>
          <t>Frontend</t>
        </is>
      </c>
      <c r="F2" s="18" t="inlineStr">
        <is>
          <t>Backend</t>
        </is>
      </c>
      <c r="G2" s="18" t="inlineStr">
        <is>
          <t>Database</t>
        </is>
      </c>
      <c r="H2" s="18" t="inlineStr">
        <is>
          <t>API</t>
        </is>
      </c>
      <c r="I2" s="18" t="inlineStr">
        <is>
          <t>Edge Function</t>
        </is>
      </c>
      <c r="J2" s="18" t="inlineStr">
        <is>
          <t>Status</t>
        </is>
      </c>
      <c r="K2" s="18" t="inlineStr">
        <is>
          <t>Implementation Status</t>
        </is>
      </c>
      <c r="L2" s="18" t="inlineStr">
        <is>
          <t>QA Status</t>
        </is>
      </c>
      <c r="M2" s="18" t="inlineStr">
        <is>
          <t>Priority</t>
        </is>
      </c>
      <c r="N2" s="18" t="inlineStr">
        <is>
          <t>Risk</t>
        </is>
      </c>
      <c r="O2" s="18" t="inlineStr">
        <is>
          <t>Owner</t>
        </is>
      </c>
      <c r="P2" s="18" t="inlineStr">
        <is>
          <t>QA Owner</t>
        </is>
      </c>
      <c r="Q2" s="18" t="inlineStr">
        <is>
          <t>Est Hours</t>
        </is>
      </c>
      <c r="R2" s="18" t="inlineStr">
        <is>
          <t>Actual Hours</t>
        </is>
      </c>
      <c r="S2" s="18" t="inlineStr">
        <is>
          <t>Comments</t>
        </is>
      </c>
    </row>
    <row r="3">
      <c r="A3" s="19" t="inlineStr">
        <is>
          <t>FEAT-001</t>
        </is>
      </c>
      <c r="B3" s="19" t="inlineStr">
        <is>
          <t>Auth &amp; Onboarding</t>
        </is>
      </c>
      <c r="C3" s="19" t="inlineStr">
        <is>
          <t>Email/password login</t>
        </is>
      </c>
      <c r="D3" s="19" t="inlineStr">
        <is>
          <t>Login with lockout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Yes</t>
        </is>
      </c>
      <c r="I3" s="19" t="inlineStr">
        <is>
          <t>N/A</t>
        </is>
      </c>
      <c r="J3" s="19" t="inlineStr">
        <is>
          <t>Completed</t>
        </is>
      </c>
      <c r="K3" s="19" t="inlineStr">
        <is>
          <t>Fully Implemented</t>
        </is>
      </c>
      <c r="L3" s="19" t="inlineStr">
        <is>
          <t>Passed</t>
        </is>
      </c>
      <c r="M3" s="19" t="inlineStr">
        <is>
          <t>Critical</t>
        </is>
      </c>
      <c r="N3" s="19" t="inlineStr">
        <is>
          <t>High</t>
        </is>
      </c>
      <c r="O3" s="19" t="inlineStr">
        <is>
          <t>Auth Lead</t>
        </is>
      </c>
      <c r="P3" s="19" t="inlineStr">
        <is>
          <t>Asha Sharma</t>
        </is>
      </c>
      <c r="Q3" s="19" t="n">
        <v>2</v>
      </c>
      <c r="R3" s="19" t="n">
        <v>1.5</v>
      </c>
      <c r="S3" s="19" t="inlineStr">
        <is>
          <t>zodResolver</t>
        </is>
      </c>
    </row>
    <row r="4">
      <c r="A4" s="20" t="inlineStr">
        <is>
          <t>FEAT-002</t>
        </is>
      </c>
      <c r="B4" s="20" t="inlineStr">
        <is>
          <t>Auth &amp; Onboarding</t>
        </is>
      </c>
      <c r="C4" s="20" t="inlineStr">
        <is>
          <t>OAuth providers</t>
        </is>
      </c>
      <c r="D4" s="20" t="inlineStr">
        <is>
          <t>Google/GitHub OAuth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Yes</t>
        </is>
      </c>
      <c r="H4" s="20" t="inlineStr">
        <is>
          <t>Yes</t>
        </is>
      </c>
      <c r="I4" s="20" t="inlineStr">
        <is>
          <t>N/A</t>
        </is>
      </c>
      <c r="J4" s="20" t="inlineStr">
        <is>
          <t>Completed</t>
        </is>
      </c>
      <c r="K4" s="20" t="inlineStr">
        <is>
          <t>Fully Implemented</t>
        </is>
      </c>
      <c r="L4" s="20" t="inlineStr">
        <is>
          <t>In Testing</t>
        </is>
      </c>
      <c r="M4" s="20" t="inlineStr">
        <is>
          <t>Critical</t>
        </is>
      </c>
      <c r="N4" s="20" t="inlineStr">
        <is>
          <t>Medium</t>
        </is>
      </c>
      <c r="O4" s="20" t="inlineStr">
        <is>
          <t>Auth Lead</t>
        </is>
      </c>
      <c r="P4" s="20" t="inlineStr">
        <is>
          <t>Asha Sharma</t>
        </is>
      </c>
      <c r="Q4" s="20" t="n">
        <v>3</v>
      </c>
      <c r="R4" s="20" t="n">
        <v>2</v>
      </c>
      <c r="S4" s="20" t="inlineStr"/>
    </row>
    <row r="5">
      <c r="A5" s="19" t="inlineStr">
        <is>
          <t>FEAT-003</t>
        </is>
      </c>
      <c r="B5" s="19" t="inlineStr">
        <is>
          <t>Auth &amp; Onboarding</t>
        </is>
      </c>
      <c r="C5" s="19" t="inlineStr">
        <is>
          <t>TOTP MFA</t>
        </is>
      </c>
      <c r="D5" s="19" t="inlineStr">
        <is>
          <t>Settings security MFA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Yes</t>
        </is>
      </c>
      <c r="I5" s="19" t="inlineStr">
        <is>
          <t>N/A</t>
        </is>
      </c>
      <c r="J5" s="19" t="inlineStr">
        <is>
          <t>In Progress</t>
        </is>
      </c>
      <c r="K5" s="19" t="inlineStr">
        <is>
          <t>Fully Implemented</t>
        </is>
      </c>
      <c r="L5" s="19" t="inlineStr">
        <is>
          <t>Not Tested</t>
        </is>
      </c>
      <c r="M5" s="19" t="inlineStr">
        <is>
          <t>High</t>
        </is>
      </c>
      <c r="N5" s="19" t="inlineStr">
        <is>
          <t>High</t>
        </is>
      </c>
      <c r="O5" s="19" t="inlineStr">
        <is>
          <t>Auth Lead</t>
        </is>
      </c>
      <c r="P5" s="19" t="inlineStr">
        <is>
          <t>Asha Sharma</t>
        </is>
      </c>
      <c r="Q5" s="19" t="n">
        <v>4</v>
      </c>
      <c r="R5" s="19" t="n">
        <v>0</v>
      </c>
      <c r="S5" s="19" t="inlineStr"/>
    </row>
    <row r="6">
      <c r="A6" s="20" t="inlineStr">
        <is>
          <t>FEAT-004</t>
        </is>
      </c>
      <c r="B6" s="20" t="inlineStr">
        <is>
          <t>Live Practice Coach</t>
        </is>
      </c>
      <c r="C6" s="20" t="inlineStr">
        <is>
          <t>Deepgram streaming STT</t>
        </is>
      </c>
      <c r="D6" s="20" t="inlineStr">
        <is>
          <t>Mic + system audio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Yes</t>
        </is>
      </c>
      <c r="I6" s="20" t="inlineStr">
        <is>
          <t>Yes</t>
        </is>
      </c>
      <c r="J6" s="20" t="inlineStr">
        <is>
          <t>Completed</t>
        </is>
      </c>
      <c r="K6" s="20" t="inlineStr">
        <is>
          <t>Fully Implemented</t>
        </is>
      </c>
      <c r="L6" s="20" t="inlineStr">
        <is>
          <t>Passed</t>
        </is>
      </c>
      <c r="M6" s="20" t="inlineStr">
        <is>
          <t>Critical</t>
        </is>
      </c>
      <c r="N6" s="20" t="inlineStr">
        <is>
          <t>Critical</t>
        </is>
      </c>
      <c r="O6" s="20" t="inlineStr">
        <is>
          <t>Live Coach</t>
        </is>
      </c>
      <c r="P6" s="20" t="inlineStr">
        <is>
          <t>Priya Nair</t>
        </is>
      </c>
      <c r="Q6" s="20" t="n">
        <v>6</v>
      </c>
      <c r="R6" s="20" t="n">
        <v>5.5</v>
      </c>
      <c r="S6" s="20" t="inlineStr">
        <is>
          <t>deepgram-token</t>
        </is>
      </c>
    </row>
    <row r="7">
      <c r="A7" s="19" t="inlineStr">
        <is>
          <t>FEAT-005</t>
        </is>
      </c>
      <c r="B7" s="19" t="inlineStr">
        <is>
          <t>Live Practice Coach</t>
        </is>
      </c>
      <c r="C7" s="19" t="inlineStr">
        <is>
          <t>AI answer generation</t>
        </is>
      </c>
      <c r="D7" s="19" t="inlineStr">
        <is>
          <t>generate-answer + credits</t>
        </is>
      </c>
      <c r="E7" s="19" t="inlineStr">
        <is>
          <t>Yes</t>
        </is>
      </c>
      <c r="F7" s="19" t="inlineStr">
        <is>
          <t>Yes</t>
        </is>
      </c>
      <c r="G7" s="19" t="inlineStr">
        <is>
          <t>Yes</t>
        </is>
      </c>
      <c r="H7" s="19" t="inlineStr">
        <is>
          <t>Yes</t>
        </is>
      </c>
      <c r="I7" s="19" t="inlineStr">
        <is>
          <t>Yes</t>
        </is>
      </c>
      <c r="J7" s="19" t="inlineStr">
        <is>
          <t>Completed</t>
        </is>
      </c>
      <c r="K7" s="19" t="inlineStr">
        <is>
          <t>Fully Implemented</t>
        </is>
      </c>
      <c r="L7" s="19" t="inlineStr">
        <is>
          <t>In Testing</t>
        </is>
      </c>
      <c r="M7" s="19" t="inlineStr">
        <is>
          <t>Critical</t>
        </is>
      </c>
      <c r="N7" s="19" t="inlineStr">
        <is>
          <t>Critical</t>
        </is>
      </c>
      <c r="O7" s="19" t="inlineStr">
        <is>
          <t>Live Coach</t>
        </is>
      </c>
      <c r="P7" s="19" t="inlineStr">
        <is>
          <t>Priya Nair</t>
        </is>
      </c>
      <c r="Q7" s="19" t="n">
        <v>5</v>
      </c>
      <c r="R7" s="19" t="n">
        <v>3</v>
      </c>
      <c r="S7" s="19" t="inlineStr">
        <is>
          <t>Overlay requires Pro</t>
        </is>
      </c>
    </row>
    <row r="8">
      <c r="A8" s="20" t="inlineStr">
        <is>
          <t>FEAT-006</t>
        </is>
      </c>
      <c r="B8" s="20" t="inlineStr">
        <is>
          <t>Live Practice Coach</t>
        </is>
      </c>
      <c r="C8" s="20" t="inlineStr">
        <is>
          <t>Desktop overlay hotkeys</t>
        </is>
      </c>
      <c r="D8" s="20" t="inlineStr">
        <is>
          <t>Central hotkey registry</t>
        </is>
      </c>
      <c r="E8" s="20" t="inlineStr">
        <is>
          <t>Yes</t>
        </is>
      </c>
      <c r="F8" s="20" t="inlineStr">
        <is>
          <t>N/A</t>
        </is>
      </c>
      <c r="G8" s="20" t="inlineStr">
        <is>
          <t>N/A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Completed</t>
        </is>
      </c>
      <c r="K8" s="20" t="inlineStr">
        <is>
          <t>Fully Implemented</t>
        </is>
      </c>
      <c r="L8" s="20" t="inlineStr">
        <is>
          <t>Passed</t>
        </is>
      </c>
      <c r="M8" s="20" t="inlineStr">
        <is>
          <t>High</t>
        </is>
      </c>
      <c r="N8" s="20" t="inlineStr">
        <is>
          <t>Medium</t>
        </is>
      </c>
      <c r="O8" s="20" t="inlineStr">
        <is>
          <t>Desktop</t>
        </is>
      </c>
      <c r="P8" s="20" t="inlineStr">
        <is>
          <t>Dev Patel</t>
        </is>
      </c>
      <c r="Q8" s="20" t="n">
        <v>2</v>
      </c>
      <c r="R8" s="20" t="n">
        <v>1.5</v>
      </c>
      <c r="S8" s="20" t="inlineStr">
        <is>
          <t>P1-6</t>
        </is>
      </c>
    </row>
    <row r="9">
      <c r="A9" s="19" t="inlineStr">
        <is>
          <t>FEAT-007</t>
        </is>
      </c>
      <c r="B9" s="19" t="inlineStr">
        <is>
          <t>Billing &amp; Credits</t>
        </is>
      </c>
      <c r="C9" s="19" t="inlineStr">
        <is>
          <t>Stripe checkout Pro/Max</t>
        </is>
      </c>
      <c r="D9" s="19" t="inlineStr">
        <is>
          <t>create-checkout price IDs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Yes</t>
        </is>
      </c>
      <c r="H9" s="19" t="inlineStr">
        <is>
          <t>Yes</t>
        </is>
      </c>
      <c r="I9" s="19" t="inlineStr">
        <is>
          <t>Yes</t>
        </is>
      </c>
      <c r="J9" s="19" t="inlineStr">
        <is>
          <t>Completed</t>
        </is>
      </c>
      <c r="K9" s="19" t="inlineStr">
        <is>
          <t>Fully Implemented</t>
        </is>
      </c>
      <c r="L9" s="19" t="inlineStr">
        <is>
          <t>In Testing</t>
        </is>
      </c>
      <c r="M9" s="19" t="inlineStr">
        <is>
          <t>Critical</t>
        </is>
      </c>
      <c r="N9" s="19" t="inlineStr">
        <is>
          <t>Critical</t>
        </is>
      </c>
      <c r="O9" s="19" t="inlineStr">
        <is>
          <t>Billing</t>
        </is>
      </c>
      <c r="P9" s="19" t="inlineStr">
        <is>
          <t>Asha Sharma</t>
        </is>
      </c>
      <c r="Q9" s="19" t="n">
        <v>5</v>
      </c>
      <c r="R9" s="19" t="n">
        <v>4</v>
      </c>
      <c r="S9" s="19" t="inlineStr">
        <is>
          <t>Enterprise IDs wired</t>
        </is>
      </c>
    </row>
    <row r="10">
      <c r="A10" s="20" t="inlineStr">
        <is>
          <t>FEAT-008</t>
        </is>
      </c>
      <c r="B10" s="20" t="inlineStr">
        <is>
          <t>Billing &amp; Credits</t>
        </is>
      </c>
      <c r="C10" s="20" t="inlineStr">
        <is>
          <t>Razorpay INR order</t>
        </is>
      </c>
      <c r="D10" s="20" t="inlineStr">
        <is>
          <t>One-time order + webhook</t>
        </is>
      </c>
      <c r="E10" s="20" t="inlineStr">
        <is>
          <t>Yes</t>
        </is>
      </c>
      <c r="F10" s="20" t="inlineStr">
        <is>
          <t>Yes</t>
        </is>
      </c>
      <c r="G10" s="20" t="inlineStr">
        <is>
          <t>Yes</t>
        </is>
      </c>
      <c r="H10" s="20" t="inlineStr">
        <is>
          <t>Yes</t>
        </is>
      </c>
      <c r="I10" s="20" t="inlineStr">
        <is>
          <t>Yes</t>
        </is>
      </c>
      <c r="J10" s="20" t="inlineStr">
        <is>
          <t>In Progress</t>
        </is>
      </c>
      <c r="K10" s="20" t="inlineStr">
        <is>
          <t>Partial</t>
        </is>
      </c>
      <c r="L10" s="20" t="inlineStr">
        <is>
          <t>Failed</t>
        </is>
      </c>
      <c r="M10" s="20" t="inlineStr">
        <is>
          <t>Critical</t>
        </is>
      </c>
      <c r="N10" s="20" t="inlineStr">
        <is>
          <t>High</t>
        </is>
      </c>
      <c r="O10" s="20" t="inlineStr">
        <is>
          <t>Billing</t>
        </is>
      </c>
      <c r="P10" s="20" t="inlineStr">
        <is>
          <t>Asha Sharma</t>
        </is>
      </c>
      <c r="Q10" s="20" t="n">
        <v>4</v>
      </c>
      <c r="R10" s="20" t="n">
        <v>3.5</v>
      </c>
      <c r="S10" s="20" t="inlineStr">
        <is>
          <t>No recurring</t>
        </is>
      </c>
    </row>
    <row r="11">
      <c r="A11" s="19" t="inlineStr">
        <is>
          <t>FEAT-009</t>
        </is>
      </c>
      <c r="B11" s="19" t="inlineStr">
        <is>
          <t>Billing &amp; Credits</t>
        </is>
      </c>
      <c r="C11" s="19" t="inlineStr">
        <is>
          <t>Credit ledger deduct</t>
        </is>
      </c>
      <c r="D11" s="19" t="inlineStr">
        <is>
          <t>deductCreditsAtomic</t>
        </is>
      </c>
      <c r="E11" s="19" t="inlineStr">
        <is>
          <t>Partial</t>
        </is>
      </c>
      <c r="F11" s="19" t="inlineStr">
        <is>
          <t>Yes</t>
        </is>
      </c>
      <c r="G11" s="19" t="inlineStr">
        <is>
          <t>Yes</t>
        </is>
      </c>
      <c r="H11" s="19" t="inlineStr">
        <is>
          <t>Yes</t>
        </is>
      </c>
      <c r="I11" s="19" t="inlineStr">
        <is>
          <t>Yes</t>
        </is>
      </c>
      <c r="J11" s="19" t="inlineStr">
        <is>
          <t>Completed</t>
        </is>
      </c>
      <c r="K11" s="19" t="inlineStr">
        <is>
          <t>Fully Implemented</t>
        </is>
      </c>
      <c r="L11" s="19" t="inlineStr">
        <is>
          <t>Passed</t>
        </is>
      </c>
      <c r="M11" s="19" t="inlineStr">
        <is>
          <t>Critical</t>
        </is>
      </c>
      <c r="N11" s="19" t="inlineStr">
        <is>
          <t>Critical</t>
        </is>
      </c>
      <c r="O11" s="19" t="inlineStr">
        <is>
          <t>Billing</t>
        </is>
      </c>
      <c r="P11" s="19" t="inlineStr">
        <is>
          <t>Dev Patel</t>
        </is>
      </c>
      <c r="Q11" s="19" t="n">
        <v>3</v>
      </c>
      <c r="R11" s="19" t="n">
        <v>2.5</v>
      </c>
      <c r="S11" s="19" t="inlineStr"/>
    </row>
    <row r="12">
      <c r="A12" s="20" t="inlineStr">
        <is>
          <t>FEAT-010</t>
        </is>
      </c>
      <c r="B12" s="20" t="inlineStr">
        <is>
          <t>Documents &amp; Resumes</t>
        </is>
      </c>
      <c r="C12" s="20" t="inlineStr">
        <is>
          <t>Onboarding free parse</t>
        </is>
      </c>
      <c r="D12" s="20" t="inlineStr">
        <is>
          <t>First parse free once</t>
        </is>
      </c>
      <c r="E12" s="20" t="inlineStr">
        <is>
          <t>Yes</t>
        </is>
      </c>
      <c r="F12" s="20" t="inlineStr">
        <is>
          <t>Yes</t>
        </is>
      </c>
      <c r="G12" s="20" t="inlineStr">
        <is>
          <t>Yes</t>
        </is>
      </c>
      <c r="H12" s="20" t="inlineStr">
        <is>
          <t>Yes</t>
        </is>
      </c>
      <c r="I12" s="20" t="inlineStr">
        <is>
          <t>Yes</t>
        </is>
      </c>
      <c r="J12" s="20" t="inlineStr">
        <is>
          <t>Completed</t>
        </is>
      </c>
      <c r="K12" s="20" t="inlineStr">
        <is>
          <t>Fully Implemented</t>
        </is>
      </c>
      <c r="L12" s="20" t="inlineStr">
        <is>
          <t>Passed</t>
        </is>
      </c>
      <c r="M12" s="20" t="inlineStr">
        <is>
          <t>High</t>
        </is>
      </c>
      <c r="N12" s="20" t="inlineStr">
        <is>
          <t>High</t>
        </is>
      </c>
      <c r="O12" s="20" t="inlineStr">
        <is>
          <t>Docs</t>
        </is>
      </c>
      <c r="P12" s="20" t="inlineStr">
        <is>
          <t>Priya Nair</t>
        </is>
      </c>
      <c r="Q12" s="20" t="n">
        <v>3</v>
      </c>
      <c r="R12" s="20" t="n">
        <v>2</v>
      </c>
      <c r="S12" s="20" t="inlineStr">
        <is>
          <t>x-clarify-onboarding-parse</t>
        </is>
      </c>
    </row>
    <row r="13">
      <c r="A13" s="19" t="inlineStr">
        <is>
          <t>FEAT-011</t>
        </is>
      </c>
      <c r="B13" s="19" t="inlineStr">
        <is>
          <t>Documents &amp; Resumes</t>
        </is>
      </c>
      <c r="C13" s="19" t="inlineStr">
        <is>
          <t>Gap analysis charge</t>
        </is>
      </c>
      <c r="D13" s="19" t="inlineStr">
        <is>
          <t>gap_analysis = 10 credits</t>
        </is>
      </c>
      <c r="E13" s="19" t="inlineStr">
        <is>
          <t>Yes</t>
        </is>
      </c>
      <c r="F13" s="19" t="inlineStr">
        <is>
          <t>Yes</t>
        </is>
      </c>
      <c r="G13" s="19" t="inlineStr">
        <is>
          <t>Yes</t>
        </is>
      </c>
      <c r="H13" s="19" t="inlineStr">
        <is>
          <t>Yes</t>
        </is>
      </c>
      <c r="I13" s="19" t="inlineStr">
        <is>
          <t>Yes</t>
        </is>
      </c>
      <c r="J13" s="19" t="inlineStr">
        <is>
          <t>Completed</t>
        </is>
      </c>
      <c r="K13" s="19" t="inlineStr">
        <is>
          <t>Fully Implemented</t>
        </is>
      </c>
      <c r="L13" s="19" t="inlineStr">
        <is>
          <t>In Testing</t>
        </is>
      </c>
      <c r="M13" s="19" t="inlineStr">
        <is>
          <t>High</t>
        </is>
      </c>
      <c r="N13" s="19" t="inlineStr">
        <is>
          <t>Medium</t>
        </is>
      </c>
      <c r="O13" s="19" t="inlineStr">
        <is>
          <t>Docs</t>
        </is>
      </c>
      <c r="P13" s="19" t="inlineStr">
        <is>
          <t>Priya Nair</t>
        </is>
      </c>
      <c r="Q13" s="19" t="n">
        <v>2.5</v>
      </c>
      <c r="R13" s="19" t="n">
        <v>1</v>
      </c>
      <c r="S13" s="19" t="inlineStr"/>
    </row>
    <row r="14">
      <c r="A14" s="20" t="inlineStr">
        <is>
          <t>FEAT-012</t>
        </is>
      </c>
      <c r="B14" s="20" t="inlineStr">
        <is>
          <t>Gov Exam Mock Tests</t>
        </is>
      </c>
      <c r="C14" s="20" t="inlineStr">
        <is>
          <t>Atomic create/submit</t>
        </is>
      </c>
      <c r="D14" s="20" t="inlineStr">
        <is>
          <t>create-test / submit-test</t>
        </is>
      </c>
      <c r="E14" s="20" t="inlineStr">
        <is>
          <t>Yes</t>
        </is>
      </c>
      <c r="F14" s="20" t="inlineStr">
        <is>
          <t>Yes</t>
        </is>
      </c>
      <c r="G14" s="20" t="inlineStr">
        <is>
          <t>Yes</t>
        </is>
      </c>
      <c r="H14" s="20" t="inlineStr">
        <is>
          <t>Yes</t>
        </is>
      </c>
      <c r="I14" s="20" t="inlineStr">
        <is>
          <t>Yes</t>
        </is>
      </c>
      <c r="J14" s="20" t="inlineStr">
        <is>
          <t>Completed</t>
        </is>
      </c>
      <c r="K14" s="20" t="inlineStr">
        <is>
          <t>Fully Implemented</t>
        </is>
      </c>
      <c r="L14" s="20" t="inlineStr">
        <is>
          <t>Passed</t>
        </is>
      </c>
      <c r="M14" s="20" t="inlineStr">
        <is>
          <t>Critical</t>
        </is>
      </c>
      <c r="N14" s="20" t="inlineStr">
        <is>
          <t>High</t>
        </is>
      </c>
      <c r="O14" s="20" t="inlineStr">
        <is>
          <t>GovExams</t>
        </is>
      </c>
      <c r="P14" s="20" t="inlineStr">
        <is>
          <t>Rohan Mehta</t>
        </is>
      </c>
      <c r="Q14" s="20" t="n">
        <v>5</v>
      </c>
      <c r="R14" s="20" t="n">
        <v>4.5</v>
      </c>
      <c r="S14" s="20" t="inlineStr">
        <is>
          <t>Thin bank</t>
        </is>
      </c>
    </row>
    <row r="15">
      <c r="A15" s="19" t="inlineStr">
        <is>
          <t>FEAT-013</t>
        </is>
      </c>
      <c r="B15" s="19" t="inlineStr">
        <is>
          <t>Gov Exam Mock Tests</t>
        </is>
      </c>
      <c r="C15" s="19" t="inlineStr">
        <is>
          <t>Admin exam filter</t>
        </is>
      </c>
      <c r="D15" s="19" t="inlineStr">
        <is>
          <t>Display string map</t>
        </is>
      </c>
      <c r="E15" s="19" t="inlineStr">
        <is>
          <t>Yes</t>
        </is>
      </c>
      <c r="F15" s="19" t="inlineStr">
        <is>
          <t>Yes</t>
        </is>
      </c>
      <c r="G15" s="19" t="inlineStr">
        <is>
          <t>Yes</t>
        </is>
      </c>
      <c r="H15" s="19" t="inlineStr">
        <is>
          <t>N/A</t>
        </is>
      </c>
      <c r="I15" s="19" t="inlineStr">
        <is>
          <t>Partial</t>
        </is>
      </c>
      <c r="J15" s="19" t="inlineStr">
        <is>
          <t>Completed</t>
        </is>
      </c>
      <c r="K15" s="19" t="inlineStr">
        <is>
          <t>Fully Implemented</t>
        </is>
      </c>
      <c r="L15" s="19" t="inlineStr">
        <is>
          <t>Passed</t>
        </is>
      </c>
      <c r="M15" s="19" t="inlineStr">
        <is>
          <t>High</t>
        </is>
      </c>
      <c r="N15" s="19" t="inlineStr">
        <is>
          <t>Medium</t>
        </is>
      </c>
      <c r="O15" s="19" t="inlineStr">
        <is>
          <t>Admin</t>
        </is>
      </c>
      <c r="P15" s="19" t="inlineStr">
        <is>
          <t>Rohan Mehta</t>
        </is>
      </c>
      <c r="Q15" s="19" t="n">
        <v>2</v>
      </c>
      <c r="R15" s="19" t="n">
        <v>1.5</v>
      </c>
      <c r="S15" s="19" t="inlineStr">
        <is>
          <t>P1-5</t>
        </is>
      </c>
    </row>
    <row r="16">
      <c r="A16" s="20" t="inlineStr">
        <is>
          <t>FEAT-014</t>
        </is>
      </c>
      <c r="B16" s="20" t="inlineStr">
        <is>
          <t>Admin Portal</t>
        </is>
      </c>
      <c r="C16" s="20" t="inlineStr">
        <is>
          <t>Revenue USD/INR</t>
        </is>
      </c>
      <c r="D16" s="20" t="inlineStr">
        <is>
          <t>Subscriptions + paise</t>
        </is>
      </c>
      <c r="E16" s="20" t="inlineStr">
        <is>
          <t>Yes</t>
        </is>
      </c>
      <c r="F16" s="20" t="inlineStr">
        <is>
          <t>Yes</t>
        </is>
      </c>
      <c r="G16" s="20" t="inlineStr">
        <is>
          <t>Yes</t>
        </is>
      </c>
      <c r="H16" s="20" t="inlineStr">
        <is>
          <t>N/A</t>
        </is>
      </c>
      <c r="I16" s="20" t="inlineStr">
        <is>
          <t>N/A</t>
        </is>
      </c>
      <c r="J16" s="20" t="inlineStr">
        <is>
          <t>Completed</t>
        </is>
      </c>
      <c r="K16" s="20" t="inlineStr">
        <is>
          <t>Fully Implemented</t>
        </is>
      </c>
      <c r="L16" s="20" t="inlineStr">
        <is>
          <t>Passed</t>
        </is>
      </c>
      <c r="M16" s="20" t="inlineStr">
        <is>
          <t>Critical</t>
        </is>
      </c>
      <c r="N16" s="20" t="inlineStr">
        <is>
          <t>High</t>
        </is>
      </c>
      <c r="O16" s="20" t="inlineStr">
        <is>
          <t>Admin</t>
        </is>
      </c>
      <c r="P16" s="20" t="inlineStr">
        <is>
          <t>Rohan Mehta</t>
        </is>
      </c>
      <c r="Q16" s="20" t="n">
        <v>4</v>
      </c>
      <c r="R16" s="20" t="n">
        <v>3</v>
      </c>
      <c r="S16" s="20" t="inlineStr">
        <is>
          <t>P0-6</t>
        </is>
      </c>
    </row>
    <row r="17">
      <c r="A17" s="19" t="inlineStr">
        <is>
          <t>FEAT-015</t>
        </is>
      </c>
      <c r="B17" s="19" t="inlineStr">
        <is>
          <t>Answer Bank</t>
        </is>
      </c>
      <c r="C17" s="19" t="inlineStr">
        <is>
          <t>Generate with AI</t>
        </is>
      </c>
      <c r="D17" s="19" t="inlineStr">
        <is>
          <t>prep-tool star_method</t>
        </is>
      </c>
      <c r="E17" s="19" t="inlineStr">
        <is>
          <t>Yes</t>
        </is>
      </c>
      <c r="F17" s="19" t="inlineStr">
        <is>
          <t>Yes</t>
        </is>
      </c>
      <c r="G17" s="19" t="inlineStr">
        <is>
          <t>Yes</t>
        </is>
      </c>
      <c r="H17" s="19" t="inlineStr">
        <is>
          <t>Yes</t>
        </is>
      </c>
      <c r="I17" s="19" t="inlineStr">
        <is>
          <t>Yes</t>
        </is>
      </c>
      <c r="J17" s="19" t="inlineStr">
        <is>
          <t>Completed</t>
        </is>
      </c>
      <c r="K17" s="19" t="inlineStr">
        <is>
          <t>Fully Implemented</t>
        </is>
      </c>
      <c r="L17" s="19" t="inlineStr">
        <is>
          <t>In Testing</t>
        </is>
      </c>
      <c r="M17" s="19" t="inlineStr">
        <is>
          <t>Medium</t>
        </is>
      </c>
      <c r="N17" s="19" t="inlineStr">
        <is>
          <t>Low</t>
        </is>
      </c>
      <c r="O17" s="19" t="inlineStr">
        <is>
          <t>Prep</t>
        </is>
      </c>
      <c r="P17" s="19" t="inlineStr">
        <is>
          <t>Asha Sharma</t>
        </is>
      </c>
      <c r="Q17" s="19" t="n">
        <v>3</v>
      </c>
      <c r="R17" s="19" t="n">
        <v>1.5</v>
      </c>
      <c r="S17" s="19" t="inlineStr">
        <is>
          <t>P3 wire</t>
        </is>
      </c>
    </row>
    <row r="18">
      <c r="A18" s="20" t="inlineStr">
        <is>
          <t>FEAT-016</t>
        </is>
      </c>
      <c r="B18" s="20" t="inlineStr">
        <is>
          <t>Interviews &amp; Calendar</t>
        </is>
      </c>
      <c r="C18" s="20" t="inlineStr">
        <is>
          <t>Google Calendar sync</t>
        </is>
      </c>
      <c r="D18" s="20" t="inlineStr">
        <is>
          <t>sync-calendar Pro gate</t>
        </is>
      </c>
      <c r="E18" s="20" t="inlineStr">
        <is>
          <t>Yes</t>
        </is>
      </c>
      <c r="F18" s="20" t="inlineStr">
        <is>
          <t>Yes</t>
        </is>
      </c>
      <c r="G18" s="20" t="inlineStr">
        <is>
          <t>Yes</t>
        </is>
      </c>
      <c r="H18" s="20" t="inlineStr">
        <is>
          <t>Yes</t>
        </is>
      </c>
      <c r="I18" s="20" t="inlineStr">
        <is>
          <t>Yes</t>
        </is>
      </c>
      <c r="J18" s="20" t="inlineStr">
        <is>
          <t>Blocked</t>
        </is>
      </c>
      <c r="K18" s="20" t="inlineStr">
        <is>
          <t>Partial</t>
        </is>
      </c>
      <c r="L18" s="20" t="inlineStr">
        <is>
          <t>Blocked</t>
        </is>
      </c>
      <c r="M18" s="20" t="inlineStr">
        <is>
          <t>High</t>
        </is>
      </c>
      <c r="N18" s="20" t="inlineStr">
        <is>
          <t>Medium</t>
        </is>
      </c>
      <c r="O18" s="20" t="inlineStr">
        <is>
          <t>Scheduling</t>
        </is>
      </c>
      <c r="P18" s="20" t="inlineStr">
        <is>
          <t>Rohan Mehta</t>
        </is>
      </c>
      <c r="Q18" s="20" t="n">
        <v>4</v>
      </c>
      <c r="R18" s="20" t="n">
        <v>1</v>
      </c>
      <c r="S18" s="20" t="inlineStr">
        <is>
          <t>501 w/o secrets</t>
        </is>
      </c>
    </row>
    <row r="19">
      <c r="A19" s="19" t="inlineStr">
        <is>
          <t>FEAT-017</t>
        </is>
      </c>
      <c r="B19" s="19" t="inlineStr">
        <is>
          <t>Sessions &amp; Debriefs</t>
        </is>
      </c>
      <c r="C19" s="19" t="inlineStr">
        <is>
          <t>Null score display</t>
        </is>
      </c>
      <c r="D19" s="19" t="inlineStr">
        <is>
          <t>Not scored vs 0</t>
        </is>
      </c>
      <c r="E19" s="19" t="inlineStr">
        <is>
          <t>Yes</t>
        </is>
      </c>
      <c r="F19" s="19" t="inlineStr">
        <is>
          <t>N/A</t>
        </is>
      </c>
      <c r="G19" s="19" t="inlineStr">
        <is>
          <t>Yes</t>
        </is>
      </c>
      <c r="H19" s="19" t="inlineStr">
        <is>
          <t>N/A</t>
        </is>
      </c>
      <c r="I19" s="19" t="inlineStr">
        <is>
          <t>N/A</t>
        </is>
      </c>
      <c r="J19" s="19" t="inlineStr">
        <is>
          <t>Completed</t>
        </is>
      </c>
      <c r="K19" s="19" t="inlineStr">
        <is>
          <t>Fully Implemented</t>
        </is>
      </c>
      <c r="L19" s="19" t="inlineStr">
        <is>
          <t>Passed</t>
        </is>
      </c>
      <c r="M19" s="19" t="inlineStr">
        <is>
          <t>Medium</t>
        </is>
      </c>
      <c r="N19" s="19" t="inlineStr">
        <is>
          <t>Low</t>
        </is>
      </c>
      <c r="O19" s="19" t="inlineStr">
        <is>
          <t>Sessions</t>
        </is>
      </c>
      <c r="P19" s="19" t="inlineStr">
        <is>
          <t>Priya Nair</t>
        </is>
      </c>
      <c r="Q19" s="19" t="n">
        <v>1.5</v>
      </c>
      <c r="R19" s="19" t="n">
        <v>1</v>
      </c>
      <c r="S19" s="19" t="inlineStr">
        <is>
          <t>P1-7</t>
        </is>
      </c>
    </row>
    <row r="20">
      <c r="A20" s="20" t="inlineStr">
        <is>
          <t>FEAT-018</t>
        </is>
      </c>
      <c r="B20" s="20" t="inlineStr">
        <is>
          <t>Marketing Site</t>
        </is>
      </c>
      <c r="C20" s="20" t="inlineStr">
        <is>
          <t>Pricing Max $79</t>
        </is>
      </c>
      <c r="D20" s="20" t="inlineStr">
        <is>
          <t>enterprise monthlyPrice</t>
        </is>
      </c>
      <c r="E20" s="20" t="inlineStr">
        <is>
          <t>Yes</t>
        </is>
      </c>
      <c r="F20" s="20" t="inlineStr">
        <is>
          <t>N/A</t>
        </is>
      </c>
      <c r="G20" s="20" t="inlineStr">
        <is>
          <t>N/A</t>
        </is>
      </c>
      <c r="H20" s="20" t="inlineStr">
        <is>
          <t>N/A</t>
        </is>
      </c>
      <c r="I20" s="20" t="inlineStr">
        <is>
          <t>N/A</t>
        </is>
      </c>
      <c r="J20" s="20" t="inlineStr">
        <is>
          <t>Completed</t>
        </is>
      </c>
      <c r="K20" s="20" t="inlineStr">
        <is>
          <t>Fully Implemented</t>
        </is>
      </c>
      <c r="L20" s="20" t="inlineStr">
        <is>
          <t>Passed</t>
        </is>
      </c>
      <c r="M20" s="20" t="inlineStr">
        <is>
          <t>High</t>
        </is>
      </c>
      <c r="N20" s="20" t="inlineStr">
        <is>
          <t>Low</t>
        </is>
      </c>
      <c r="O20" s="20" t="inlineStr">
        <is>
          <t>Growth</t>
        </is>
      </c>
      <c r="P20" s="20" t="inlineStr">
        <is>
          <t>Kavya Iyer</t>
        </is>
      </c>
      <c r="Q20" s="20" t="n">
        <v>1</v>
      </c>
      <c r="R20" s="20" t="n">
        <v>0.5</v>
      </c>
      <c r="S20" s="20" t="inlineStr">
        <is>
          <t>P2-4</t>
        </is>
      </c>
    </row>
    <row r="21">
      <c r="A21" s="19" t="inlineStr">
        <is>
          <t>FEAT-019</t>
        </is>
      </c>
      <c r="B21" s="19" t="inlineStr">
        <is>
          <t>Electron Desktop Overlay</t>
        </is>
      </c>
      <c r="C21" s="19" t="inlineStr">
        <is>
          <t>Window min size</t>
        </is>
      </c>
      <c r="D21" s="19" t="inlineStr">
        <is>
          <t>360×320 clamp</t>
        </is>
      </c>
      <c r="E21" s="19" t="inlineStr">
        <is>
          <t>Yes</t>
        </is>
      </c>
      <c r="F21" s="19" t="inlineStr">
        <is>
          <t>N/A</t>
        </is>
      </c>
      <c r="G21" s="19" t="inlineStr">
        <is>
          <t>N/A</t>
        </is>
      </c>
      <c r="H21" s="19" t="inlineStr">
        <is>
          <t>N/A</t>
        </is>
      </c>
      <c r="I21" s="19" t="inlineStr">
        <is>
          <t>N/A</t>
        </is>
      </c>
      <c r="J21" s="19" t="inlineStr">
        <is>
          <t>Completed</t>
        </is>
      </c>
      <c r="K21" s="19" t="inlineStr">
        <is>
          <t>Fully Implemented</t>
        </is>
      </c>
      <c r="L21" s="19" t="inlineStr">
        <is>
          <t>Passed</t>
        </is>
      </c>
      <c r="M21" s="19" t="inlineStr">
        <is>
          <t>Medium</t>
        </is>
      </c>
      <c r="N21" s="19" t="inlineStr">
        <is>
          <t>Low</t>
        </is>
      </c>
      <c r="O21" s="19" t="inlineStr">
        <is>
          <t>Desktop</t>
        </is>
      </c>
      <c r="P21" s="19" t="inlineStr">
        <is>
          <t>Dev Patel</t>
        </is>
      </c>
      <c r="Q21" s="19" t="n">
        <v>1.5</v>
      </c>
      <c r="R21" s="19" t="n">
        <v>1</v>
      </c>
      <c r="S21" s="19" t="inlineStr">
        <is>
          <t>P1-9</t>
        </is>
      </c>
    </row>
    <row r="22">
      <c r="A22" s="20" t="inlineStr">
        <is>
          <t>FEAT-020</t>
        </is>
      </c>
      <c r="B22" s="20" t="inlineStr">
        <is>
          <t>Security &amp; Platform</t>
        </is>
      </c>
      <c r="C22" s="20" t="inlineStr">
        <is>
          <t>Refund clawback</t>
        </is>
      </c>
      <c r="D22" s="20" t="inlineStr">
        <is>
          <t>charge.refunded safe</t>
        </is>
      </c>
      <c r="E22" s="20" t="inlineStr">
        <is>
          <t>N/A</t>
        </is>
      </c>
      <c r="F22" s="20" t="inlineStr">
        <is>
          <t>Yes</t>
        </is>
      </c>
      <c r="G22" s="20" t="inlineStr">
        <is>
          <t>Yes</t>
        </is>
      </c>
      <c r="H22" s="20" t="inlineStr">
        <is>
          <t>Yes</t>
        </is>
      </c>
      <c r="I22" s="20" t="inlineStr">
        <is>
          <t>Yes</t>
        </is>
      </c>
      <c r="J22" s="20" t="inlineStr">
        <is>
          <t>In Progress</t>
        </is>
      </c>
      <c r="K22" s="20" t="inlineStr">
        <is>
          <t>Fully Implemented</t>
        </is>
      </c>
      <c r="L22" s="20" t="inlineStr">
        <is>
          <t>In Testing</t>
        </is>
      </c>
      <c r="M22" s="20" t="inlineStr">
        <is>
          <t>Critical</t>
        </is>
      </c>
      <c r="N22" s="20" t="inlineStr">
        <is>
          <t>High</t>
        </is>
      </c>
      <c r="O22" s="20" t="inlineStr">
        <is>
          <t>Platform</t>
        </is>
      </c>
      <c r="P22" s="20" t="inlineStr">
        <is>
          <t>Dev Patel</t>
        </is>
      </c>
      <c r="Q22" s="20" t="n">
        <v>4</v>
      </c>
      <c r="R22" s="20" t="n">
        <v>2</v>
      </c>
      <c r="S22" s="20" t="inlineStr">
        <is>
          <t>P4-2</t>
        </is>
      </c>
    </row>
    <row r="23">
      <c r="A23" s="21" t="inlineStr">
        <is>
          <t>TOTAL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21">
        <f>SUM(Q3:Q22)</f>
        <v/>
      </c>
      <c r="R23" s="21">
        <f>SUM(R3:R22)</f>
        <v/>
      </c>
      <c r="S23" s="19" t="n"/>
    </row>
  </sheetData>
  <autoFilter ref="A2:S23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L3:L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M3:M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N3:N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Lists!$Z$2:$Z$21</formula1>
    </dataValidation>
    <dataValidation sqref="E3:E5000" showDropDown="0" showInputMessage="0" showErrorMessage="0" allowBlank="1" errorTitle="Invalid" error="Pick a value from the list" type="list">
      <formula1>Lists!$AF$2:$AF$5</formula1>
    </dataValidation>
    <dataValidation sqref="F3:F5000" showDropDown="0" showInputMessage="0" showErrorMessage="0" allowBlank="1" errorTitle="Invalid" error="Pick a value from the list" type="list">
      <formula1>Lists!$AF$2:$AF$5</formula1>
    </dataValidation>
    <dataValidation sqref="G3:G5000" showDropDown="0" showInputMessage="0" showErrorMessage="0" allowBlank="1" errorTitle="Invalid" error="Pick a value from the list" type="list">
      <formula1>Lists!$AF$2:$AF$5</formula1>
    </dataValidation>
    <dataValidation sqref="H3:H5000" showDropDown="0" showInputMessage="0" showErrorMessage="0" allowBlank="1" errorTitle="Invalid" error="Pick a value from the list" type="list">
      <formula1>Lists!$AF$2:$AF$5</formula1>
    </dataValidation>
    <dataValidation sqref="I3:I5000" showDropDown="0" showInputMessage="0" showErrorMessage="0" allowBlank="1" errorTitle="Invalid" error="Pick a value from the list" type="list">
      <formula1>Lists!$AF$2:$AF$5</formula1>
    </dataValidation>
    <dataValidation sqref="J3:J5000" showDropDown="0" showInputMessage="0" showErrorMessage="0" allowBlank="1" errorTitle="Invalid" error="Pick a value from the list" type="list">
      <formula1>Lists!$A$2:$A$9</formula1>
    </dataValidation>
    <dataValidation sqref="K3:K5000" showDropDown="0" showInputMessage="0" showErrorMessage="0" allowBlank="1" errorTitle="Invalid" error="Pick a value from the list" type="list">
      <formula1>Lists!$AE$2:$AE$6</formula1>
    </dataValidation>
    <dataValidation sqref="L3:L5000" showDropDown="0" showInputMessage="0" showErrorMessage="0" allowBlank="1" errorTitle="Invalid" error="Pick a value from the list" type="list">
      <formula1>Lists!$J$2:$J$7</formula1>
    </dataValidation>
    <dataValidation sqref="M3:M5000" showDropDown="0" showInputMessage="0" showErrorMessage="0" allowBlank="1" errorTitle="Invalid" error="Pick a value from the list" type="list">
      <formula1>Lists!$C$2:$C$5</formula1>
    </dataValidation>
    <dataValidation sqref="N3:N5000" showDropDown="0" showInputMessage="0" showErrorMessage="0" allowBlank="1" errorTitle="Invalid" error="Pick a value from the list" type="list">
      <formula1>Lists!$L$2:$L$5</formula1>
    </dataValidation>
    <dataValidation sqref="O3:O5000" showDropDown="0" showInputMessage="0" showErrorMessage="0" allowBlank="1" errorTitle="Invalid" error="Pick a value from the list" type="list">
      <formula1>Lists!$AD$2:$AD$17</formula1>
    </dataValidation>
    <dataValidation sqref="P3:P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2" customWidth="1" min="4" max="4"/>
    <col width="23" customWidth="1" min="5" max="5"/>
    <col width="28" customWidth="1" min="6" max="6"/>
    <col width="12" customWidth="1" min="7" max="7"/>
    <col width="12" customWidth="1" min="8" max="8"/>
    <col width="12" customWidth="1" min="9" max="9"/>
    <col width="22" customWidth="1" min="10" max="10"/>
    <col width="36" customWidth="1" min="11" max="11"/>
    <col width="28" customWidth="1" min="12" max="12"/>
    <col width="36" customWidth="1" min="13" max="13"/>
    <col width="32" customWidth="1" min="14" max="14"/>
    <col width="21" customWidth="1" min="15" max="15"/>
    <col width="13" customWidth="1" min="16" max="16"/>
    <col width="13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5" customWidth="1" min="23" max="23"/>
    <col width="13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9" customWidth="1" min="34" max="34"/>
  </cols>
  <sheetData>
    <row r="1">
      <c r="A1" s="1" t="inlineStr">
        <is>
          <t>Test Case Repository — Clarify AI</t>
        </is>
      </c>
    </row>
    <row r="2">
      <c r="A2" s="18" t="inlineStr">
        <is>
          <t>Test Case ID</t>
        </is>
      </c>
      <c r="B2" s="18" t="inlineStr">
        <is>
          <t>Requirement ID</t>
        </is>
      </c>
      <c r="C2" s="18" t="inlineStr">
        <is>
          <t>Module</t>
        </is>
      </c>
      <c r="D2" s="18" t="inlineStr">
        <is>
          <t>Sub Module</t>
        </is>
      </c>
      <c r="E2" s="18" t="inlineStr">
        <is>
          <t>Feature</t>
        </is>
      </c>
      <c r="F2" s="18" t="inlineStr">
        <is>
          <t>Screen</t>
        </is>
      </c>
      <c r="G2" s="18" t="inlineStr">
        <is>
          <t>User Role</t>
        </is>
      </c>
      <c r="H2" s="18" t="inlineStr">
        <is>
          <t>Priority</t>
        </is>
      </c>
      <c r="I2" s="18" t="inlineStr">
        <is>
          <t>Severity</t>
        </is>
      </c>
      <c r="J2" s="18" t="inlineStr">
        <is>
          <t>Test Scenario</t>
        </is>
      </c>
      <c r="K2" s="18" t="inlineStr">
        <is>
          <t>Test Case</t>
        </is>
      </c>
      <c r="L2" s="18" t="inlineStr">
        <is>
          <t>Preconditions</t>
        </is>
      </c>
      <c r="M2" s="18" t="inlineStr">
        <is>
          <t>Test Steps</t>
        </is>
      </c>
      <c r="N2" s="18" t="inlineStr">
        <is>
          <t>Expected Result</t>
        </is>
      </c>
      <c r="O2" s="18" t="inlineStr">
        <is>
          <t>Actual Result</t>
        </is>
      </c>
      <c r="P2" s="18" t="inlineStr">
        <is>
          <t>Pass/Fail</t>
        </is>
      </c>
      <c r="Q2" s="18" t="inlineStr">
        <is>
          <t>Status</t>
        </is>
      </c>
      <c r="R2" s="18" t="inlineStr">
        <is>
          <t>Bug ID</t>
        </is>
      </c>
      <c r="S2" s="18" t="inlineStr">
        <is>
          <t>Tester</t>
        </is>
      </c>
      <c r="T2" s="18" t="inlineStr">
        <is>
          <t>Est Hours</t>
        </is>
      </c>
      <c r="U2" s="18" t="inlineStr">
        <is>
          <t>Actual Hours</t>
        </is>
      </c>
      <c r="V2" s="18" t="inlineStr">
        <is>
          <t>Execution Date</t>
        </is>
      </c>
      <c r="W2" s="18" t="inlineStr">
        <is>
          <t>Build Version</t>
        </is>
      </c>
      <c r="X2" s="18" t="inlineStr">
        <is>
          <t>Environment</t>
        </is>
      </c>
      <c r="Y2" s="18" t="inlineStr">
        <is>
          <t>Browser</t>
        </is>
      </c>
      <c r="Z2" s="18" t="inlineStr">
        <is>
          <t>Device</t>
        </is>
      </c>
      <c r="AA2" s="18" t="inlineStr">
        <is>
          <t>Platform</t>
        </is>
      </c>
      <c r="AB2" s="18" t="inlineStr">
        <is>
          <t>Automation</t>
        </is>
      </c>
      <c r="AC2" s="18" t="inlineStr">
        <is>
          <t>Regression</t>
        </is>
      </c>
      <c r="AD2" s="18" t="inlineStr">
        <is>
          <t>Smoke</t>
        </is>
      </c>
      <c r="AE2" s="18" t="inlineStr">
        <is>
          <t>Sanity</t>
        </is>
      </c>
      <c r="AF2" s="18" t="inlineStr">
        <is>
          <t>Sprint</t>
        </is>
      </c>
      <c r="AG2" s="18" t="inlineStr">
        <is>
          <t>Release</t>
        </is>
      </c>
      <c r="AH2" s="18" t="inlineStr">
        <is>
          <t>Remarks</t>
        </is>
      </c>
    </row>
    <row r="3">
      <c r="A3" s="19" t="inlineStr">
        <is>
          <t>TC-001</t>
        </is>
      </c>
      <c r="B3" s="19" t="inlineStr">
        <is>
          <t>REQ-AUTH-01</t>
        </is>
      </c>
      <c r="C3" s="19" t="inlineStr">
        <is>
          <t>Auth &amp; Onboarding</t>
        </is>
      </c>
      <c r="D3" s="19" t="inlineStr">
        <is>
          <t>Login</t>
        </is>
      </c>
      <c r="E3" s="19" t="inlineStr">
        <is>
          <t>Email login</t>
        </is>
      </c>
      <c r="F3" s="19" t="inlineStr">
        <is>
          <t>/login</t>
        </is>
      </c>
      <c r="G3" s="19" t="inlineStr">
        <is>
          <t>Free User</t>
        </is>
      </c>
      <c r="H3" s="19" t="inlineStr">
        <is>
          <t>Critical</t>
        </is>
      </c>
      <c r="I3" s="19" t="inlineStr">
        <is>
          <t>Critical</t>
        </is>
      </c>
      <c r="J3" s="19" t="inlineStr">
        <is>
          <t>Valid credentials</t>
        </is>
      </c>
      <c r="K3" s="19" t="inlineStr">
        <is>
          <t>User signs in with email/password</t>
        </is>
      </c>
      <c r="L3" s="19" t="inlineStr">
        <is>
          <t>Verified account</t>
        </is>
      </c>
      <c r="M3" s="19" t="inlineStr">
        <is>
          <t>1. Open /login
2. Enter credentials
3. Submit</t>
        </is>
      </c>
      <c r="N3" s="19" t="inlineStr">
        <is>
          <t>Redirect to /app or onboarding</t>
        </is>
      </c>
      <c r="O3" s="19" t="inlineStr">
        <is>
          <t>Landed on dashboard</t>
        </is>
      </c>
      <c r="P3" s="19" t="inlineStr">
        <is>
          <t>Pass</t>
        </is>
      </c>
      <c r="Q3" s="19" t="inlineStr">
        <is>
          <t>Completed</t>
        </is>
      </c>
      <c r="R3" s="19" t="inlineStr"/>
      <c r="S3" s="19" t="inlineStr">
        <is>
          <t>Asha Sharma</t>
        </is>
      </c>
      <c r="T3" s="19" t="n">
        <v>1</v>
      </c>
      <c r="U3" s="19" t="n">
        <v>0.75</v>
      </c>
      <c r="V3" s="22" t="n">
        <v>46231</v>
      </c>
      <c r="W3" s="19" t="inlineStr">
        <is>
          <t>1.0.0</t>
        </is>
      </c>
      <c r="X3" s="19" t="inlineStr">
        <is>
          <t>Staging</t>
        </is>
      </c>
      <c r="Y3" s="19" t="inlineStr">
        <is>
          <t>Chrome</t>
        </is>
      </c>
      <c r="Z3" s="19" t="inlineStr">
        <is>
          <t>Desktop</t>
        </is>
      </c>
      <c r="AA3" s="19" t="inlineStr">
        <is>
          <t>Web</t>
        </is>
      </c>
      <c r="AB3" s="19" t="inlineStr">
        <is>
          <t>Manual</t>
        </is>
      </c>
      <c r="AC3" s="19" t="inlineStr">
        <is>
          <t>Yes</t>
        </is>
      </c>
      <c r="AD3" s="19" t="inlineStr">
        <is>
          <t>Yes</t>
        </is>
      </c>
      <c r="AE3" s="19" t="inlineStr">
        <is>
          <t>Yes</t>
        </is>
      </c>
      <c r="AF3" s="19" t="inlineStr">
        <is>
          <t>Sprint 26</t>
        </is>
      </c>
      <c r="AG3" s="19" t="inlineStr">
        <is>
          <t>1.0.0-beta</t>
        </is>
      </c>
      <c r="AH3" s="19" t="inlineStr"/>
    </row>
    <row r="4">
      <c r="A4" s="20" t="inlineStr">
        <is>
          <t>TC-002</t>
        </is>
      </c>
      <c r="B4" s="20" t="inlineStr">
        <is>
          <t>REQ-AUTH-02</t>
        </is>
      </c>
      <c r="C4" s="20" t="inlineStr">
        <is>
          <t>Auth &amp; Onboarding</t>
        </is>
      </c>
      <c r="D4" s="20" t="inlineStr">
        <is>
          <t>Login</t>
        </is>
      </c>
      <c r="E4" s="20" t="inlineStr">
        <is>
          <t>Lockout</t>
        </is>
      </c>
      <c r="F4" s="20" t="inlineStr">
        <is>
          <t>/login</t>
        </is>
      </c>
      <c r="G4" s="20" t="inlineStr">
        <is>
          <t>Free User</t>
        </is>
      </c>
      <c r="H4" s="20" t="inlineStr">
        <is>
          <t>High</t>
        </is>
      </c>
      <c r="I4" s="20" t="inlineStr">
        <is>
          <t>High</t>
        </is>
      </c>
      <c r="J4" s="20" t="inlineStr">
        <is>
          <t>Repeated failures</t>
        </is>
      </c>
      <c r="K4" s="20" t="inlineStr">
        <is>
          <t>Lockout after threshold</t>
        </is>
      </c>
      <c r="L4" s="20" t="inlineStr">
        <is>
          <t>Test account</t>
        </is>
      </c>
      <c r="M4" s="20" t="inlineStr">
        <is>
          <t>1. Fail login repeatedly
2. Observe message</t>
        </is>
      </c>
      <c r="N4" s="20" t="inlineStr">
        <is>
          <t>Temporary lockout shown</t>
        </is>
      </c>
      <c r="O4" s="20" t="inlineStr"/>
      <c r="P4" s="20" t="inlineStr">
        <is>
          <t>Not Run</t>
        </is>
      </c>
      <c r="Q4" s="20" t="inlineStr">
        <is>
          <t>Ready</t>
        </is>
      </c>
      <c r="R4" s="20" t="inlineStr"/>
      <c r="S4" s="20" t="inlineStr">
        <is>
          <t>Asha Sharma</t>
        </is>
      </c>
      <c r="T4" s="20" t="n">
        <v>1.5</v>
      </c>
      <c r="U4" s="20" t="n">
        <v>0</v>
      </c>
      <c r="V4" s="20" t="inlineStr"/>
      <c r="W4" s="20" t="inlineStr">
        <is>
          <t>1.0.0</t>
        </is>
      </c>
      <c r="X4" s="20" t="inlineStr">
        <is>
          <t>Staging</t>
        </is>
      </c>
      <c r="Y4" s="20" t="inlineStr">
        <is>
          <t>Chrome</t>
        </is>
      </c>
      <c r="Z4" s="20" t="inlineStr">
        <is>
          <t>Desktop</t>
        </is>
      </c>
      <c r="AA4" s="20" t="inlineStr">
        <is>
          <t>Web</t>
        </is>
      </c>
      <c r="AB4" s="20" t="inlineStr">
        <is>
          <t>Manual</t>
        </is>
      </c>
      <c r="AC4" s="20" t="inlineStr">
        <is>
          <t>Yes</t>
        </is>
      </c>
      <c r="AD4" s="20" t="inlineStr">
        <is>
          <t>No</t>
        </is>
      </c>
      <c r="AE4" s="20" t="inlineStr">
        <is>
          <t>Yes</t>
        </is>
      </c>
      <c r="AF4" s="20" t="inlineStr">
        <is>
          <t>Sprint 26</t>
        </is>
      </c>
      <c r="AG4" s="20" t="inlineStr">
        <is>
          <t>1.0.0-beta</t>
        </is>
      </c>
      <c r="AH4" s="20" t="inlineStr"/>
    </row>
    <row r="5">
      <c r="A5" s="19" t="inlineStr">
        <is>
          <t>TC-003</t>
        </is>
      </c>
      <c r="B5" s="19" t="inlineStr">
        <is>
          <t>REQ-LIVE-01</t>
        </is>
      </c>
      <c r="C5" s="19" t="inlineStr">
        <is>
          <t>Live Practice Coach</t>
        </is>
      </c>
      <c r="D5" s="19" t="inlineStr">
        <is>
          <t>STT</t>
        </is>
      </c>
      <c r="E5" s="19" t="inlineStr">
        <is>
          <t>Deepgram stream</t>
        </is>
      </c>
      <c r="F5" s="19" t="inlineStr">
        <is>
          <t>/app/live</t>
        </is>
      </c>
      <c r="G5" s="19" t="inlineStr">
        <is>
          <t>Pro User</t>
        </is>
      </c>
      <c r="H5" s="19" t="inlineStr">
        <is>
          <t>Critical</t>
        </is>
      </c>
      <c r="I5" s="19" t="inlineStr">
        <is>
          <t>Critical</t>
        </is>
      </c>
      <c r="J5" s="19" t="inlineStr">
        <is>
          <t>Mic open</t>
        </is>
      </c>
      <c r="K5" s="19" t="inlineStr">
        <is>
          <t>Near-real-time transcript</t>
        </is>
      </c>
      <c r="L5" s="19" t="inlineStr">
        <is>
          <t>Pro + mic permission</t>
        </is>
      </c>
      <c r="M5" s="19" t="inlineStr">
        <is>
          <t>1. Start live
2. Speak
3. Observe transcript</t>
        </is>
      </c>
      <c r="N5" s="19" t="inlineStr">
        <is>
          <t>Segments appear under 2s</t>
        </is>
      </c>
      <c r="O5" s="19" t="inlineStr">
        <is>
          <t>OK</t>
        </is>
      </c>
      <c r="P5" s="19" t="inlineStr">
        <is>
          <t>Pass</t>
        </is>
      </c>
      <c r="Q5" s="19" t="inlineStr">
        <is>
          <t>Completed</t>
        </is>
      </c>
      <c r="R5" s="19" t="inlineStr"/>
      <c r="S5" s="19" t="inlineStr">
        <is>
          <t>Priya Nair</t>
        </is>
      </c>
      <c r="T5" s="19" t="n">
        <v>2</v>
      </c>
      <c r="U5" s="19" t="n">
        <v>1.5</v>
      </c>
      <c r="V5" s="22" t="n">
        <v>46231</v>
      </c>
      <c r="W5" s="19" t="inlineStr">
        <is>
          <t>1.0.0</t>
        </is>
      </c>
      <c r="X5" s="19" t="inlineStr">
        <is>
          <t>Staging</t>
        </is>
      </c>
      <c r="Y5" s="19" t="inlineStr">
        <is>
          <t>Electron</t>
        </is>
      </c>
      <c r="Z5" s="19" t="inlineStr">
        <is>
          <t>Laptop</t>
        </is>
      </c>
      <c r="AA5" s="19" t="inlineStr">
        <is>
          <t>Windows</t>
        </is>
      </c>
      <c r="AB5" s="19" t="inlineStr">
        <is>
          <t>Manual</t>
        </is>
      </c>
      <c r="AC5" s="19" t="inlineStr">
        <is>
          <t>Yes</t>
        </is>
      </c>
      <c r="AD5" s="19" t="inlineStr">
        <is>
          <t>Yes</t>
        </is>
      </c>
      <c r="AE5" s="19" t="inlineStr">
        <is>
          <t>No</t>
        </is>
      </c>
      <c r="AF5" s="19" t="inlineStr">
        <is>
          <t>Sprint 26</t>
        </is>
      </c>
      <c r="AG5" s="19" t="inlineStr">
        <is>
          <t>1.0.0-beta</t>
        </is>
      </c>
      <c r="AH5" s="19" t="inlineStr"/>
    </row>
    <row r="6">
      <c r="A6" s="20" t="inlineStr">
        <is>
          <t>TC-004</t>
        </is>
      </c>
      <c r="B6" s="20" t="inlineStr">
        <is>
          <t>REQ-LIVE-02</t>
        </is>
      </c>
      <c r="C6" s="20" t="inlineStr">
        <is>
          <t>Live Practice Coach</t>
        </is>
      </c>
      <c r="D6" s="20" t="inlineStr">
        <is>
          <t>Overlay</t>
        </is>
      </c>
      <c r="E6" s="20" t="inlineStr">
        <is>
          <t>Pro gate</t>
        </is>
      </c>
      <c r="F6" s="20" t="inlineStr">
        <is>
          <t>/app/live/overlay</t>
        </is>
      </c>
      <c r="G6" s="20" t="inlineStr">
        <is>
          <t>Free User</t>
        </is>
      </c>
      <c r="H6" s="20" t="inlineStr">
        <is>
          <t>Critical</t>
        </is>
      </c>
      <c r="I6" s="20" t="inlineStr">
        <is>
          <t>High</t>
        </is>
      </c>
      <c r="J6" s="20" t="inlineStr">
        <is>
          <t>Free overlay blocked</t>
        </is>
      </c>
      <c r="K6" s="20" t="inlineStr">
        <is>
          <t>Server rejects overlay capture</t>
        </is>
      </c>
      <c r="L6" s="20" t="inlineStr">
        <is>
          <t>Free account</t>
        </is>
      </c>
      <c r="M6" s="20" t="inlineStr">
        <is>
          <t>1. Attempt overlay capture
2. Check response</t>
        </is>
      </c>
      <c r="N6" s="20" t="inlineStr">
        <is>
          <t>403 / upgrade required</t>
        </is>
      </c>
      <c r="O6" s="20" t="inlineStr">
        <is>
          <t>403 returned</t>
        </is>
      </c>
      <c r="P6" s="20" t="inlineStr">
        <is>
          <t>Pass</t>
        </is>
      </c>
      <c r="Q6" s="20" t="inlineStr">
        <is>
          <t>Completed</t>
        </is>
      </c>
      <c r="R6" s="20" t="inlineStr">
        <is>
          <t>BUG-001</t>
        </is>
      </c>
      <c r="S6" s="20" t="inlineStr">
        <is>
          <t>Dev Patel</t>
        </is>
      </c>
      <c r="T6" s="20" t="n">
        <v>1.5</v>
      </c>
      <c r="U6" s="20" t="n">
        <v>1.25</v>
      </c>
      <c r="V6" s="23" t="n">
        <v>46231</v>
      </c>
      <c r="W6" s="20" t="inlineStr">
        <is>
          <t>1.0.0</t>
        </is>
      </c>
      <c r="X6" s="20" t="inlineStr">
        <is>
          <t>Staging</t>
        </is>
      </c>
      <c r="Y6" s="20" t="inlineStr">
        <is>
          <t>Electron</t>
        </is>
      </c>
      <c r="Z6" s="20" t="inlineStr">
        <is>
          <t>Desktop</t>
        </is>
      </c>
      <c r="AA6" s="20" t="inlineStr">
        <is>
          <t>Windows</t>
        </is>
      </c>
      <c r="AB6" s="20" t="inlineStr">
        <is>
          <t>Candidate</t>
        </is>
      </c>
      <c r="AC6" s="20" t="inlineStr">
        <is>
          <t>Yes</t>
        </is>
      </c>
      <c r="AD6" s="20" t="inlineStr">
        <is>
          <t>Yes</t>
        </is>
      </c>
      <c r="AE6" s="20" t="inlineStr">
        <is>
          <t>No</t>
        </is>
      </c>
      <c r="AF6" s="20" t="inlineStr">
        <is>
          <t>Sprint 26</t>
        </is>
      </c>
      <c r="AG6" s="20" t="inlineStr">
        <is>
          <t>1.0.0-beta</t>
        </is>
      </c>
      <c r="AH6" s="20" t="inlineStr">
        <is>
          <t>Retest after P0-3</t>
        </is>
      </c>
    </row>
    <row r="7">
      <c r="A7" s="19" t="inlineStr">
        <is>
          <t>TC-005</t>
        </is>
      </c>
      <c r="B7" s="19" t="inlineStr">
        <is>
          <t>REQ-BILL-01</t>
        </is>
      </c>
      <c r="C7" s="19" t="inlineStr">
        <is>
          <t>Billing &amp; Credits</t>
        </is>
      </c>
      <c r="D7" s="19" t="inlineStr">
        <is>
          <t>Checkout</t>
        </is>
      </c>
      <c r="E7" s="19" t="inlineStr">
        <is>
          <t>Max Stripe price</t>
        </is>
      </c>
      <c r="F7" s="19" t="inlineStr">
        <is>
          <t>/pricing</t>
        </is>
      </c>
      <c r="G7" s="19" t="inlineStr">
        <is>
          <t>Free User</t>
        </is>
      </c>
      <c r="H7" s="19" t="inlineStr">
        <is>
          <t>Critical</t>
        </is>
      </c>
      <c r="I7" s="19" t="inlineStr">
        <is>
          <t>Critical</t>
        </is>
      </c>
      <c r="J7" s="19" t="inlineStr">
        <is>
          <t>Upgrade Max</t>
        </is>
      </c>
      <c r="K7" s="19" t="inlineStr">
        <is>
          <t>Enterprise price id used</t>
        </is>
      </c>
      <c r="L7" s="19" t="inlineStr">
        <is>
          <t>Stripe test keys</t>
        </is>
      </c>
      <c r="M7" s="19" t="inlineStr">
        <is>
          <t>1. Select Max
2. Checkout
3. Inspect price</t>
        </is>
      </c>
      <c r="N7" s="19" t="inlineStr">
        <is>
          <t>Non-empty enterprise price</t>
        </is>
      </c>
      <c r="O7" s="19" t="inlineStr">
        <is>
          <t>OK</t>
        </is>
      </c>
      <c r="P7" s="19" t="inlineStr">
        <is>
          <t>Pass</t>
        </is>
      </c>
      <c r="Q7" s="19" t="inlineStr">
        <is>
          <t>Completed</t>
        </is>
      </c>
      <c r="R7" s="19" t="inlineStr"/>
      <c r="S7" s="19" t="inlineStr">
        <is>
          <t>Asha Sharma</t>
        </is>
      </c>
      <c r="T7" s="19" t="n">
        <v>2</v>
      </c>
      <c r="U7" s="19" t="n">
        <v>1.5</v>
      </c>
      <c r="V7" s="22" t="n">
        <v>46231</v>
      </c>
      <c r="W7" s="19" t="inlineStr">
        <is>
          <t>1.0.0</t>
        </is>
      </c>
      <c r="X7" s="19" t="inlineStr">
        <is>
          <t>Staging</t>
        </is>
      </c>
      <c r="Y7" s="19" t="inlineStr">
        <is>
          <t>Chrome</t>
        </is>
      </c>
      <c r="Z7" s="19" t="inlineStr">
        <is>
          <t>Desktop</t>
        </is>
      </c>
      <c r="AA7" s="19" t="inlineStr">
        <is>
          <t>Web</t>
        </is>
      </c>
      <c r="AB7" s="19" t="inlineStr">
        <is>
          <t>Manual</t>
        </is>
      </c>
      <c r="AC7" s="19" t="inlineStr">
        <is>
          <t>Yes</t>
        </is>
      </c>
      <c r="AD7" s="19" t="inlineStr">
        <is>
          <t>Yes</t>
        </is>
      </c>
      <c r="AE7" s="19" t="inlineStr">
        <is>
          <t>Yes</t>
        </is>
      </c>
      <c r="AF7" s="19" t="inlineStr">
        <is>
          <t>Sprint 26</t>
        </is>
      </c>
      <c r="AG7" s="19" t="inlineStr">
        <is>
          <t>1.0.0-beta</t>
        </is>
      </c>
      <c r="AH7" s="19" t="inlineStr">
        <is>
          <t>P0-1</t>
        </is>
      </c>
    </row>
    <row r="8">
      <c r="A8" s="20" t="inlineStr">
        <is>
          <t>TC-006</t>
        </is>
      </c>
      <c r="B8" s="20" t="inlineStr">
        <is>
          <t>REQ-BILL-02</t>
        </is>
      </c>
      <c r="C8" s="20" t="inlineStr">
        <is>
          <t>Billing &amp; Credits</t>
        </is>
      </c>
      <c r="D8" s="20" t="inlineStr">
        <is>
          <t>Webhook</t>
        </is>
      </c>
      <c r="E8" s="20" t="inlineStr">
        <is>
          <t>payment_failed</t>
        </is>
      </c>
      <c r="F8" s="20" t="inlineStr">
        <is>
          <t>stripe-webhook</t>
        </is>
      </c>
      <c r="G8" s="20" t="inlineStr">
        <is>
          <t>Pro User</t>
        </is>
      </c>
      <c r="H8" s="20" t="inlineStr">
        <is>
          <t>Critical</t>
        </is>
      </c>
      <c r="I8" s="20" t="inlineStr">
        <is>
          <t>Critical</t>
        </is>
      </c>
      <c r="J8" s="20" t="inlineStr">
        <is>
          <t>Failed invoice</t>
        </is>
      </c>
      <c r="K8" s="20" t="inlineStr">
        <is>
          <t>Wallet not wiped</t>
        </is>
      </c>
      <c r="L8" s="20" t="inlineStr">
        <is>
          <t>credits=500</t>
        </is>
      </c>
      <c r="M8" s="20" t="inlineStr">
        <is>
          <t>1. Simulate invoice.payment_failed
2. Read credits</t>
        </is>
      </c>
      <c r="N8" s="20" t="inlineStr">
        <is>
          <t>Credits remain 500</t>
        </is>
      </c>
      <c r="O8" s="20" t="inlineStr">
        <is>
          <t>Unchanged</t>
        </is>
      </c>
      <c r="P8" s="20" t="inlineStr">
        <is>
          <t>Pass</t>
        </is>
      </c>
      <c r="Q8" s="20" t="inlineStr">
        <is>
          <t>Completed</t>
        </is>
      </c>
      <c r="R8" s="20" t="inlineStr"/>
      <c r="S8" s="20" t="inlineStr">
        <is>
          <t>Dev Patel</t>
        </is>
      </c>
      <c r="T8" s="20" t="n">
        <v>1.5</v>
      </c>
      <c r="U8" s="20" t="n">
        <v>1</v>
      </c>
      <c r="V8" s="23" t="n">
        <v>46231</v>
      </c>
      <c r="W8" s="20" t="inlineStr">
        <is>
          <t>1.0.0</t>
        </is>
      </c>
      <c r="X8" s="20" t="inlineStr">
        <is>
          <t>CI</t>
        </is>
      </c>
      <c r="Y8" s="20" t="inlineStr">
        <is>
          <t>N/A</t>
        </is>
      </c>
      <c r="Z8" s="20" t="inlineStr">
        <is>
          <t>Desktop</t>
        </is>
      </c>
      <c r="AA8" s="20" t="inlineStr">
        <is>
          <t>Web</t>
        </is>
      </c>
      <c r="AB8" s="20" t="inlineStr">
        <is>
          <t>Automated</t>
        </is>
      </c>
      <c r="AC8" s="20" t="inlineStr">
        <is>
          <t>Yes</t>
        </is>
      </c>
      <c r="AD8" s="20" t="inlineStr">
        <is>
          <t>Yes</t>
        </is>
      </c>
      <c r="AE8" s="20" t="inlineStr">
        <is>
          <t>No</t>
        </is>
      </c>
      <c r="AF8" s="20" t="inlineStr">
        <is>
          <t>Sprint 26</t>
        </is>
      </c>
      <c r="AG8" s="20" t="inlineStr">
        <is>
          <t>1.0.0-beta</t>
        </is>
      </c>
      <c r="AH8" s="20" t="inlineStr">
        <is>
          <t>P0-2</t>
        </is>
      </c>
    </row>
    <row r="9">
      <c r="A9" s="19" t="inlineStr">
        <is>
          <t>TC-007</t>
        </is>
      </c>
      <c r="B9" s="19" t="inlineStr">
        <is>
          <t>REQ-DOC-01</t>
        </is>
      </c>
      <c r="C9" s="19" t="inlineStr">
        <is>
          <t>Documents &amp; Resumes</t>
        </is>
      </c>
      <c r="D9" s="19" t="inlineStr">
        <is>
          <t>Parse</t>
        </is>
      </c>
      <c r="E9" s="19" t="inlineStr">
        <is>
          <t>Free onboarding parse</t>
        </is>
      </c>
      <c r="F9" s="19" t="inlineStr">
        <is>
          <t>/onboarding</t>
        </is>
      </c>
      <c r="G9" s="19" t="inlineStr">
        <is>
          <t>Free User</t>
        </is>
      </c>
      <c r="H9" s="19" t="inlineStr">
        <is>
          <t>High</t>
        </is>
      </c>
      <c r="I9" s="19" t="inlineStr">
        <is>
          <t>Medium</t>
        </is>
      </c>
      <c r="J9" s="19" t="inlineStr">
        <is>
          <t>First parse free</t>
        </is>
      </c>
      <c r="K9" s="19" t="inlineStr">
        <is>
          <t>No deduct on first onboarding parse</t>
        </is>
      </c>
      <c r="L9" s="19" t="inlineStr">
        <is>
          <t>onboarding_completed=false</t>
        </is>
      </c>
      <c r="M9" s="19" t="inlineStr">
        <is>
          <t>1. Upload resume
2. Check ledger</t>
        </is>
      </c>
      <c r="N9" s="19" t="inlineStr">
        <is>
          <t>Free path / no deduct</t>
        </is>
      </c>
      <c r="O9" s="19" t="inlineStr"/>
      <c r="P9" s="19" t="inlineStr">
        <is>
          <t>Not Run</t>
        </is>
      </c>
      <c r="Q9" s="19" t="inlineStr">
        <is>
          <t>Ready</t>
        </is>
      </c>
      <c r="R9" s="19" t="inlineStr"/>
      <c r="S9" s="19" t="inlineStr">
        <is>
          <t>Priya Nair</t>
        </is>
      </c>
      <c r="T9" s="19" t="n">
        <v>1.5</v>
      </c>
      <c r="U9" s="19" t="n">
        <v>0</v>
      </c>
      <c r="V9" s="19" t="inlineStr"/>
      <c r="W9" s="19" t="inlineStr">
        <is>
          <t>1.0.0</t>
        </is>
      </c>
      <c r="X9" s="19" t="inlineStr">
        <is>
          <t>Staging</t>
        </is>
      </c>
      <c r="Y9" s="19" t="inlineStr">
        <is>
          <t>Chrome</t>
        </is>
      </c>
      <c r="Z9" s="19" t="inlineStr">
        <is>
          <t>Desktop</t>
        </is>
      </c>
      <c r="AA9" s="19" t="inlineStr">
        <is>
          <t>Web</t>
        </is>
      </c>
      <c r="AB9" s="19" t="inlineStr">
        <is>
          <t>Manual</t>
        </is>
      </c>
      <c r="AC9" s="19" t="inlineStr">
        <is>
          <t>Yes</t>
        </is>
      </c>
      <c r="AD9" s="19" t="inlineStr">
        <is>
          <t>No</t>
        </is>
      </c>
      <c r="AE9" s="19" t="inlineStr">
        <is>
          <t>Yes</t>
        </is>
      </c>
      <c r="AF9" s="19" t="inlineStr">
        <is>
          <t>Sprint 26</t>
        </is>
      </c>
      <c r="AG9" s="19" t="inlineStr">
        <is>
          <t>1.0.0-beta</t>
        </is>
      </c>
      <c r="AH9" s="19" t="inlineStr"/>
    </row>
    <row r="10">
      <c r="A10" s="20" t="inlineStr">
        <is>
          <t>TC-008</t>
        </is>
      </c>
      <c r="B10" s="20" t="inlineStr">
        <is>
          <t>REQ-GOV-01</t>
        </is>
      </c>
      <c r="C10" s="20" t="inlineStr">
        <is>
          <t>Gov Exam Mock Tests</t>
        </is>
      </c>
      <c r="D10" s="20" t="inlineStr">
        <is>
          <t>Submit</t>
        </is>
      </c>
      <c r="E10" s="20" t="inlineStr">
        <is>
          <t>Atomic submit</t>
        </is>
      </c>
      <c r="F10" s="20" t="inlineStr">
        <is>
          <t>/app/mock-test/session/:id</t>
        </is>
      </c>
      <c r="G10" s="20" t="inlineStr">
        <is>
          <t>Free User</t>
        </is>
      </c>
      <c r="H10" s="20" t="inlineStr">
        <is>
          <t>Critical</t>
        </is>
      </c>
      <c r="I10" s="20" t="inlineStr">
        <is>
          <t>High</t>
        </is>
      </c>
      <c r="J10" s="20" t="inlineStr">
        <is>
          <t>Submit answers</t>
        </is>
      </c>
      <c r="K10" s="20" t="inlineStr">
        <is>
          <t>Score persisted once</t>
        </is>
      </c>
      <c r="L10" s="20" t="inlineStr">
        <is>
          <t>Active test</t>
        </is>
      </c>
      <c r="M10" s="20" t="inlineStr">
        <is>
          <t>1. Answer
2. Submit
3. Open results</t>
        </is>
      </c>
      <c r="N10" s="20" t="inlineStr">
        <is>
          <t>Score + breakdown</t>
        </is>
      </c>
      <c r="O10" s="20" t="inlineStr">
        <is>
          <t>OK</t>
        </is>
      </c>
      <c r="P10" s="20" t="inlineStr">
        <is>
          <t>Pass</t>
        </is>
      </c>
      <c r="Q10" s="20" t="inlineStr">
        <is>
          <t>Completed</t>
        </is>
      </c>
      <c r="R10" s="20" t="inlineStr"/>
      <c r="S10" s="20" t="inlineStr">
        <is>
          <t>Rohan Mehta</t>
        </is>
      </c>
      <c r="T10" s="20" t="n">
        <v>2</v>
      </c>
      <c r="U10" s="20" t="n">
        <v>1.75</v>
      </c>
      <c r="V10" s="23" t="n">
        <v>46231</v>
      </c>
      <c r="W10" s="20" t="inlineStr">
        <is>
          <t>1.0.0</t>
        </is>
      </c>
      <c r="X10" s="20" t="inlineStr">
        <is>
          <t>Staging</t>
        </is>
      </c>
      <c r="Y10" s="20" t="inlineStr">
        <is>
          <t>Chrome</t>
        </is>
      </c>
      <c r="Z10" s="20" t="inlineStr">
        <is>
          <t>Android Phone</t>
        </is>
      </c>
      <c r="AA10" s="20" t="inlineStr">
        <is>
          <t>Android</t>
        </is>
      </c>
      <c r="AB10" s="20" t="inlineStr">
        <is>
          <t>Manual</t>
        </is>
      </c>
      <c r="AC10" s="20" t="inlineStr">
        <is>
          <t>Yes</t>
        </is>
      </c>
      <c r="AD10" s="20" t="inlineStr">
        <is>
          <t>Yes</t>
        </is>
      </c>
      <c r="AE10" s="20" t="inlineStr">
        <is>
          <t>Yes</t>
        </is>
      </c>
      <c r="AF10" s="20" t="inlineStr">
        <is>
          <t>Sprint 26</t>
        </is>
      </c>
      <c r="AG10" s="20" t="inlineStr">
        <is>
          <t>1.0.0-beta</t>
        </is>
      </c>
      <c r="AH10" s="20" t="inlineStr"/>
    </row>
    <row r="11">
      <c r="A11" s="19" t="inlineStr">
        <is>
          <t>TC-009</t>
        </is>
      </c>
      <c r="B11" s="19" t="inlineStr">
        <is>
          <t>REQ-ADM-01</t>
        </is>
      </c>
      <c r="C11" s="19" t="inlineStr">
        <is>
          <t>Admin Portal</t>
        </is>
      </c>
      <c r="D11" s="19" t="inlineStr">
        <is>
          <t>Revenue</t>
        </is>
      </c>
      <c r="E11" s="19" t="inlineStr">
        <is>
          <t>USD vs INR</t>
        </is>
      </c>
      <c r="F11" s="19" t="inlineStr">
        <is>
          <t>/app/admin/revenue</t>
        </is>
      </c>
      <c r="G11" s="19" t="inlineStr">
        <is>
          <t>Admin</t>
        </is>
      </c>
      <c r="H11" s="19" t="inlineStr">
        <is>
          <t>Critical</t>
        </is>
      </c>
      <c r="I11" s="19" t="inlineStr">
        <is>
          <t>High</t>
        </is>
      </c>
      <c r="J11" s="19" t="inlineStr">
        <is>
          <t>Admin revenue view</t>
        </is>
      </c>
      <c r="K11" s="19" t="inlineStr">
        <is>
          <t>Currencies separate</t>
        </is>
      </c>
      <c r="L11" s="19" t="inlineStr">
        <is>
          <t>Admin + sample data</t>
        </is>
      </c>
      <c r="M11" s="19" t="inlineStr">
        <is>
          <t>1. Open Revenue
2. Compare hand calc</t>
        </is>
      </c>
      <c r="N11" s="19" t="inlineStr">
        <is>
          <t>USD MRR + INR separate</t>
        </is>
      </c>
      <c r="O11" s="19" t="inlineStr">
        <is>
          <t>OK</t>
        </is>
      </c>
      <c r="P11" s="19" t="inlineStr">
        <is>
          <t>Pass</t>
        </is>
      </c>
      <c r="Q11" s="19" t="inlineStr">
        <is>
          <t>Completed</t>
        </is>
      </c>
      <c r="R11" s="19" t="inlineStr"/>
      <c r="S11" s="19" t="inlineStr">
        <is>
          <t>Kavya Iyer</t>
        </is>
      </c>
      <c r="T11" s="19" t="n">
        <v>2.5</v>
      </c>
      <c r="U11" s="19" t="n">
        <v>2</v>
      </c>
      <c r="V11" s="22" t="n">
        <v>46231</v>
      </c>
      <c r="W11" s="19" t="inlineStr">
        <is>
          <t>1.0.0</t>
        </is>
      </c>
      <c r="X11" s="19" t="inlineStr">
        <is>
          <t>Staging</t>
        </is>
      </c>
      <c r="Y11" s="19" t="inlineStr">
        <is>
          <t>Chrome</t>
        </is>
      </c>
      <c r="Z11" s="19" t="inlineStr">
        <is>
          <t>Desktop</t>
        </is>
      </c>
      <c r="AA11" s="19" t="inlineStr">
        <is>
          <t>Web</t>
        </is>
      </c>
      <c r="AB11" s="19" t="inlineStr">
        <is>
          <t>Manual</t>
        </is>
      </c>
      <c r="AC11" s="19" t="inlineStr">
        <is>
          <t>Yes</t>
        </is>
      </c>
      <c r="AD11" s="19" t="inlineStr">
        <is>
          <t>No</t>
        </is>
      </c>
      <c r="AE11" s="19" t="inlineStr">
        <is>
          <t>No</t>
        </is>
      </c>
      <c r="AF11" s="19" t="inlineStr">
        <is>
          <t>Sprint 26</t>
        </is>
      </c>
      <c r="AG11" s="19" t="inlineStr">
        <is>
          <t>1.0.0-beta</t>
        </is>
      </c>
      <c r="AH11" s="19" t="inlineStr">
        <is>
          <t>P0-6</t>
        </is>
      </c>
    </row>
    <row r="12">
      <c r="A12" s="20" t="inlineStr">
        <is>
          <t>TC-010</t>
        </is>
      </c>
      <c r="B12" s="20" t="inlineStr">
        <is>
          <t>REQ-APP-01</t>
        </is>
      </c>
      <c r="C12" s="20" t="inlineStr">
        <is>
          <t>Dashboard</t>
        </is>
      </c>
      <c r="D12" s="20" t="inlineStr">
        <is>
          <t>Routing</t>
        </is>
      </c>
      <c r="E12" s="20" t="inlineStr">
        <is>
          <t>In-app 404</t>
        </is>
      </c>
      <c r="F12" s="20" t="inlineStr">
        <is>
          <t>/app/does-not-exist</t>
        </is>
      </c>
      <c r="G12" s="20" t="inlineStr">
        <is>
          <t>Pro User</t>
        </is>
      </c>
      <c r="H12" s="20" t="inlineStr">
        <is>
          <t>Medium</t>
        </is>
      </c>
      <c r="I12" s="20" t="inlineStr">
        <is>
          <t>Low</t>
        </is>
      </c>
      <c r="J12" s="20" t="inlineStr">
        <is>
          <t>Unknown route</t>
        </is>
      </c>
      <c r="K12" s="20" t="inlineStr">
        <is>
          <t>NotFound in AppShell</t>
        </is>
      </c>
      <c r="L12" s="20" t="inlineStr">
        <is>
          <t>Authenticated</t>
        </is>
      </c>
      <c r="M12" s="20" t="inlineStr">
        <is>
          <t>1. Navigate unknown /app path</t>
        </is>
      </c>
      <c r="N12" s="20" t="inlineStr">
        <is>
          <t>In-app NotFound</t>
        </is>
      </c>
      <c r="O12" s="20" t="inlineStr">
        <is>
          <t>OK</t>
        </is>
      </c>
      <c r="P12" s="20" t="inlineStr">
        <is>
          <t>Pass</t>
        </is>
      </c>
      <c r="Q12" s="20" t="inlineStr">
        <is>
          <t>Completed</t>
        </is>
      </c>
      <c r="R12" s="20" t="inlineStr"/>
      <c r="S12" s="20" t="inlineStr">
        <is>
          <t>Asha Sharma</t>
        </is>
      </c>
      <c r="T12" s="20" t="n">
        <v>0.5</v>
      </c>
      <c r="U12" s="20" t="n">
        <v>0.25</v>
      </c>
      <c r="V12" s="23" t="n">
        <v>46231</v>
      </c>
      <c r="W12" s="20" t="inlineStr">
        <is>
          <t>1.0.0</t>
        </is>
      </c>
      <c r="X12" s="20" t="inlineStr">
        <is>
          <t>Staging</t>
        </is>
      </c>
      <c r="Y12" s="20" t="inlineStr">
        <is>
          <t>Chrome</t>
        </is>
      </c>
      <c r="Z12" s="20" t="inlineStr">
        <is>
          <t>Desktop</t>
        </is>
      </c>
      <c r="AA12" s="20" t="inlineStr">
        <is>
          <t>Web</t>
        </is>
      </c>
      <c r="AB12" s="20" t="inlineStr">
        <is>
          <t>Manual</t>
        </is>
      </c>
      <c r="AC12" s="20" t="inlineStr">
        <is>
          <t>Yes</t>
        </is>
      </c>
      <c r="AD12" s="20" t="inlineStr">
        <is>
          <t>Yes</t>
        </is>
      </c>
      <c r="AE12" s="20" t="inlineStr">
        <is>
          <t>Yes</t>
        </is>
      </c>
      <c r="AF12" s="20" t="inlineStr">
        <is>
          <t>Sprint 26</t>
        </is>
      </c>
      <c r="AG12" s="20" t="inlineStr">
        <is>
          <t>1.0.0-beta</t>
        </is>
      </c>
      <c r="AH12" s="20" t="inlineStr">
        <is>
          <t>P1-4</t>
        </is>
      </c>
    </row>
    <row r="13">
      <c r="A13" s="19" t="inlineStr">
        <is>
          <t>TC-011</t>
        </is>
      </c>
      <c r="B13" s="19" t="inlineStr">
        <is>
          <t>REQ-LIVE-03</t>
        </is>
      </c>
      <c r="C13" s="19" t="inlineStr">
        <is>
          <t>Live Practice Coach</t>
        </is>
      </c>
      <c r="D13" s="19" t="inlineStr">
        <is>
          <t>Credits</t>
        </is>
      </c>
      <c r="E13" s="19" t="inlineStr">
        <is>
          <t>Hint deduct</t>
        </is>
      </c>
      <c r="F13" s="19" t="inlineStr">
        <is>
          <t>/app/live</t>
        </is>
      </c>
      <c r="G13" s="19" t="inlineStr">
        <is>
          <t>Pro User</t>
        </is>
      </c>
      <c r="H13" s="19" t="inlineStr">
        <is>
          <t>High</t>
        </is>
      </c>
      <c r="I13" s="19" t="inlineStr">
        <is>
          <t>High</t>
        </is>
      </c>
      <c r="J13" s="19" t="inlineStr">
        <is>
          <t>Insufficient credits</t>
        </is>
      </c>
      <c r="K13" s="19" t="inlineStr">
        <is>
          <t>402 when wallet low</t>
        </is>
      </c>
      <c r="L13" s="19" t="inlineStr">
        <is>
          <t>credits below cost</t>
        </is>
      </c>
      <c r="M13" s="19" t="inlineStr">
        <is>
          <t>1. Drain credits
2. Request hint</t>
        </is>
      </c>
      <c r="N13" s="19" t="inlineStr">
        <is>
          <t>402 + message</t>
        </is>
      </c>
      <c r="O13" s="19" t="inlineStr">
        <is>
          <t>In progress</t>
        </is>
      </c>
      <c r="P13" s="19" t="inlineStr">
        <is>
          <t>In Progress</t>
        </is>
      </c>
      <c r="Q13" s="19" t="inlineStr">
        <is>
          <t>In Progress</t>
        </is>
      </c>
      <c r="R13" s="19" t="inlineStr"/>
      <c r="S13" s="19" t="inlineStr">
        <is>
          <t>Dev Patel</t>
        </is>
      </c>
      <c r="T13" s="19" t="n">
        <v>1.5</v>
      </c>
      <c r="U13" s="19" t="n">
        <v>0.5</v>
      </c>
      <c r="V13" s="22" t="n">
        <v>46231</v>
      </c>
      <c r="W13" s="19" t="inlineStr">
        <is>
          <t>1.0.0</t>
        </is>
      </c>
      <c r="X13" s="19" t="inlineStr">
        <is>
          <t>Staging</t>
        </is>
      </c>
      <c r="Y13" s="19" t="inlineStr">
        <is>
          <t>Chrome</t>
        </is>
      </c>
      <c r="Z13" s="19" t="inlineStr">
        <is>
          <t>Desktop</t>
        </is>
      </c>
      <c r="AA13" s="19" t="inlineStr">
        <is>
          <t>Web</t>
        </is>
      </c>
      <c r="AB13" s="19" t="inlineStr">
        <is>
          <t>Candidate</t>
        </is>
      </c>
      <c r="AC13" s="19" t="inlineStr">
        <is>
          <t>Yes</t>
        </is>
      </c>
      <c r="AD13" s="19" t="inlineStr">
        <is>
          <t>No</t>
        </is>
      </c>
      <c r="AE13" s="19" t="inlineStr">
        <is>
          <t>No</t>
        </is>
      </c>
      <c r="AF13" s="19" t="inlineStr">
        <is>
          <t>Sprint 26</t>
        </is>
      </c>
      <c r="AG13" s="19" t="inlineStr">
        <is>
          <t>1.0.0-beta</t>
        </is>
      </c>
      <c r="AH13" s="19" t="inlineStr"/>
    </row>
    <row r="14">
      <c r="A14" s="20" t="inlineStr">
        <is>
          <t>TC-012</t>
        </is>
      </c>
      <c r="B14" s="20" t="inlineStr">
        <is>
          <t>REQ-SEC-01</t>
        </is>
      </c>
      <c r="C14" s="20" t="inlineStr">
        <is>
          <t>Security &amp; Platform</t>
        </is>
      </c>
      <c r="D14" s="20" t="inlineStr">
        <is>
          <t>Authz</t>
        </is>
      </c>
      <c r="E14" s="20" t="inlineStr">
        <is>
          <t>Non-admin admin route</t>
        </is>
      </c>
      <c r="F14" s="20" t="inlineStr">
        <is>
          <t>/app/admin</t>
        </is>
      </c>
      <c r="G14" s="20" t="inlineStr">
        <is>
          <t>Free User</t>
        </is>
      </c>
      <c r="H14" s="20" t="inlineStr">
        <is>
          <t>Critical</t>
        </is>
      </c>
      <c r="I14" s="20" t="inlineStr">
        <is>
          <t>Critical</t>
        </is>
      </c>
      <c r="J14" s="20" t="inlineStr">
        <is>
          <t>Unauthorized admin</t>
        </is>
      </c>
      <c r="K14" s="20" t="inlineStr">
        <is>
          <t>Redirect / deny</t>
        </is>
      </c>
      <c r="L14" s="20" t="inlineStr">
        <is>
          <t>Non-admin user</t>
        </is>
      </c>
      <c r="M14" s="20" t="inlineStr">
        <is>
          <t>1. Open /app/admin</t>
        </is>
      </c>
      <c r="N14" s="20" t="inlineStr">
        <is>
          <t>Denied</t>
        </is>
      </c>
      <c r="O14" s="20" t="inlineStr">
        <is>
          <t>Denied</t>
        </is>
      </c>
      <c r="P14" s="20" t="inlineStr">
        <is>
          <t>Pass</t>
        </is>
      </c>
      <c r="Q14" s="20" t="inlineStr">
        <is>
          <t>Completed</t>
        </is>
      </c>
      <c r="R14" s="20" t="inlineStr"/>
      <c r="S14" s="20" t="inlineStr">
        <is>
          <t>Kavya Iyer</t>
        </is>
      </c>
      <c r="T14" s="20" t="n">
        <v>1</v>
      </c>
      <c r="U14" s="20" t="n">
        <v>0.75</v>
      </c>
      <c r="V14" s="23" t="n">
        <v>46231</v>
      </c>
      <c r="W14" s="20" t="inlineStr">
        <is>
          <t>1.0.0</t>
        </is>
      </c>
      <c r="X14" s="20" t="inlineStr">
        <is>
          <t>Staging</t>
        </is>
      </c>
      <c r="Y14" s="20" t="inlineStr">
        <is>
          <t>Chrome</t>
        </is>
      </c>
      <c r="Z14" s="20" t="inlineStr">
        <is>
          <t>Desktop</t>
        </is>
      </c>
      <c r="AA14" s="20" t="inlineStr">
        <is>
          <t>Web</t>
        </is>
      </c>
      <c r="AB14" s="20" t="inlineStr">
        <is>
          <t>Manual</t>
        </is>
      </c>
      <c r="AC14" s="20" t="inlineStr">
        <is>
          <t>Yes</t>
        </is>
      </c>
      <c r="AD14" s="20" t="inlineStr">
        <is>
          <t>Yes</t>
        </is>
      </c>
      <c r="AE14" s="20" t="inlineStr">
        <is>
          <t>Yes</t>
        </is>
      </c>
      <c r="AF14" s="20" t="inlineStr">
        <is>
          <t>Sprint 26</t>
        </is>
      </c>
      <c r="AG14" s="20" t="inlineStr">
        <is>
          <t>1.0.0-beta</t>
        </is>
      </c>
      <c r="AH14" s="20" t="inlineStr"/>
    </row>
    <row r="15">
      <c r="A15" s="24" t="inlineStr">
        <is>
          <t>TOTAL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24">
        <f>SUM(T3:T14)</f>
        <v/>
      </c>
      <c r="U15" s="24">
        <f>SUM(U3:U14)</f>
        <v/>
      </c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</row>
  </sheetData>
  <autoFilter ref="A2:AH15"/>
  <mergeCells count="1">
    <mergeCell ref="A1:H1"/>
  </mergeCells>
  <conditionalFormatting sqref="P3:P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Q3:Q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H3:H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I3:I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Lists!$Z$2:$Z$21</formula1>
    </dataValidation>
    <dataValidation sqref="G3:G5000" showDropDown="0" showInputMessage="0" showErrorMessage="0" allowBlank="1" errorTitle="Invalid" error="Pick a value from the list" type="list">
      <formula1>Lists!$AB$2:$AB$6</formula1>
    </dataValidation>
    <dataValidation sqref="H3:H5000" showDropDown="0" showInputMessage="0" showErrorMessage="0" allowBlank="1" errorTitle="Invalid" error="Pick a value from the list" type="list">
      <formula1>Lists!$C$2:$C$5</formula1>
    </dataValidation>
    <dataValidation sqref="I3:I5000" showDropDown="0" showInputMessage="0" showErrorMessage="0" allowBlank="1" errorTitle="Invalid" error="Pick a value from the list" type="list">
      <formula1>Lists!$D$2:$D$5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  <dataValidation sqref="S3:S5000" showDropDown="0" showInputMessage="0" showErrorMessage="0" allowBlank="1" errorTitle="Invalid" error="Pick a value from the list" type="list">
      <formula1>Lists!$AC$2:$AC$6</formula1>
    </dataValidation>
    <dataValidation sqref="X3:X5000" showDropDown="0" showInputMessage="0" showErrorMessage="0" allowBlank="1" errorTitle="Invalid" error="Pick a value from the list" type="list">
      <formula1>Lists!$E$2:$E$7</formula1>
    </dataValidation>
    <dataValidation sqref="Y3:Y5000" showDropDown="0" showInputMessage="0" showErrorMessage="0" allowBlank="1" errorTitle="Invalid" error="Pick a value from the list" type="list">
      <formula1>Lists!$F$2:$F$7</formula1>
    </dataValidation>
    <dataValidation sqref="Z3:Z5000" showDropDown="0" showInputMessage="0" showErrorMessage="0" allowBlank="1" errorTitle="Invalid" error="Pick a value from the list" type="list">
      <formula1>Lists!$G$2:$G$7</formula1>
    </dataValidation>
    <dataValidation sqref="AA3:AA5000" showDropDown="0" showInputMessage="0" showErrorMessage="0" allowBlank="1" errorTitle="Invalid" error="Pick a value from the list" type="list">
      <formula1>Lists!$H$2:$H$7</formula1>
    </dataValidation>
    <dataValidation sqref="AB3:AB5000" showDropDown="0" showInputMessage="0" showErrorMessage="0" allowBlank="1" errorTitle="Invalid" error="Pick a value from the list" type="list">
      <formula1>Lists!$N$2:$N$5</formula1>
    </dataValidation>
    <dataValidation sqref="AC3:AE5000" showDropDown="0" showInputMessage="0" showErrorMessage="0" allowBlank="1" errorTitle="Invalid" error="Pick a value from the list" type="list">
      <formula1>Lists!$I$2:$I$5</formula1>
    </dataValidation>
    <dataValidation sqref="AF3:AF5000" showDropDown="0" showInputMessage="0" showErrorMessage="0" allowBlank="1" errorTitle="Invalid" error="Pick a value from the list" type="list">
      <formula1>Lists!$W$2:$W$6</formula1>
    </dataValidation>
    <dataValidation sqref="AG3:AG5000" showDropDown="0" showInputMessage="0" showErrorMessage="0" allowBlank="1" errorTitle="Invalid" error="Pick a value from the list" type="list">
      <formula1>Lists!$X$2:$X$5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7" customWidth="1" min="4" max="4"/>
    <col width="28" customWidth="1" min="5" max="5"/>
    <col width="36" customWidth="1" min="6" max="6"/>
    <col width="36" customWidth="1" min="7" max="7"/>
    <col width="16" customWidth="1" min="8" max="8"/>
    <col width="12" customWidth="1" min="9" max="9"/>
    <col width="12" customWidth="1" min="10" max="10"/>
    <col width="27" customWidth="1" min="11" max="11"/>
    <col width="13" customWidth="1" min="12" max="12"/>
    <col width="13" customWidth="1" min="13" max="13"/>
    <col width="14" customWidth="1" min="14" max="14"/>
    <col width="18" customWidth="1" min="15" max="15"/>
  </cols>
  <sheetData>
    <row r="1">
      <c r="A1" s="1" t="inlineStr">
        <is>
          <t>End-to-End User Flows — golden paths</t>
        </is>
      </c>
    </row>
    <row r="2">
      <c r="A2" s="18" t="inlineStr">
        <is>
          <t>Flow ID</t>
        </is>
      </c>
      <c r="B2" s="18" t="inlineStr">
        <is>
          <t>Flow Name</t>
        </is>
      </c>
      <c r="C2" s="18" t="inlineStr">
        <is>
          <t>Portal</t>
        </is>
      </c>
      <c r="D2" s="18" t="inlineStr">
        <is>
          <t>Start Page</t>
        </is>
      </c>
      <c r="E2" s="18" t="inlineStr">
        <is>
          <t>End Page</t>
        </is>
      </c>
      <c r="F2" s="18" t="inlineStr">
        <is>
          <t>Steps</t>
        </is>
      </c>
      <c r="G2" s="18" t="inlineStr">
        <is>
          <t>Expected Outcome</t>
        </is>
      </c>
      <c r="H2" s="18" t="inlineStr">
        <is>
          <t>Actual Outcome</t>
        </is>
      </c>
      <c r="I2" s="18" t="inlineStr">
        <is>
          <t>Pass</t>
        </is>
      </c>
      <c r="J2" s="18" t="inlineStr">
        <is>
          <t>Risk</t>
        </is>
      </c>
      <c r="K2" s="18" t="inlineStr">
        <is>
          <t>Dependencies</t>
        </is>
      </c>
      <c r="L2" s="18" t="inlineStr">
        <is>
          <t>QA Owner</t>
        </is>
      </c>
      <c r="M2" s="18" t="inlineStr">
        <is>
          <t>Est Hours</t>
        </is>
      </c>
      <c r="N2" s="18" t="inlineStr">
        <is>
          <t>Actual Hours</t>
        </is>
      </c>
      <c r="O2" s="18" t="inlineStr">
        <is>
          <t>Comments</t>
        </is>
      </c>
    </row>
    <row r="3">
      <c r="A3" s="19" t="inlineStr">
        <is>
          <t>E2E-01</t>
        </is>
      </c>
      <c r="B3" s="19" t="inlineStr">
        <is>
          <t>Signup to Onboarding to Dashboard</t>
        </is>
      </c>
      <c r="C3" s="19" t="inlineStr">
        <is>
          <t>Auth Portal</t>
        </is>
      </c>
      <c r="D3" s="19" t="inlineStr">
        <is>
          <t>/signup</t>
        </is>
      </c>
      <c r="E3" s="19" t="inlineStr">
        <is>
          <t>/app/dashboard</t>
        </is>
      </c>
      <c r="F3" s="19" t="inlineStr">
        <is>
          <t>1. Sign up 2. Verify email 3. Complete 5 steps 4. Land dashboard</t>
        </is>
      </c>
      <c r="G3" s="19" t="inlineStr">
        <is>
          <t>Profile + onboarding_completed + starter credits</t>
        </is>
      </c>
      <c r="H3" s="19" t="inlineStr">
        <is>
          <t>OK on Staging</t>
        </is>
      </c>
      <c r="I3" s="19" t="inlineStr">
        <is>
          <t>Pass</t>
        </is>
      </c>
      <c r="J3" s="19" t="inlineStr">
        <is>
          <t>High</t>
        </is>
      </c>
      <c r="K3" s="19" t="inlineStr">
        <is>
          <t>Auth, Email</t>
        </is>
      </c>
      <c r="L3" s="19" t="inlineStr">
        <is>
          <t>Asha Sharma</t>
        </is>
      </c>
      <c r="M3" s="19" t="n">
        <v>3</v>
      </c>
      <c r="N3" s="19" t="n">
        <v>2.5</v>
      </c>
      <c r="O3" s="19" t="inlineStr"/>
    </row>
    <row r="4">
      <c r="A4" s="20" t="inlineStr">
        <is>
          <t>E2E-02</t>
        </is>
      </c>
      <c r="B4" s="20" t="inlineStr">
        <is>
          <t>Free to Pro Stripe checkout</t>
        </is>
      </c>
      <c r="C4" s="20" t="inlineStr">
        <is>
          <t>Candidate App</t>
        </is>
      </c>
      <c r="D4" s="20" t="inlineStr">
        <is>
          <t>/pricing</t>
        </is>
      </c>
      <c r="E4" s="20" t="inlineStr">
        <is>
          <t>/app/settings/billing</t>
        </is>
      </c>
      <c r="F4" s="20" t="inlineStr">
        <is>
          <t>1. Choose Pro 2. Stripe Checkout 3. Webhook 4. Open Billing</t>
        </is>
      </c>
      <c r="G4" s="20" t="inlineStr">
        <is>
          <t>plan=pro, credits granted, ledger entry</t>
        </is>
      </c>
      <c r="H4" s="20" t="inlineStr"/>
      <c r="I4" s="20" t="inlineStr">
        <is>
          <t>Not Run</t>
        </is>
      </c>
      <c r="J4" s="20" t="inlineStr">
        <is>
          <t>Critical</t>
        </is>
      </c>
      <c r="K4" s="20" t="inlineStr">
        <is>
          <t>Stripe test keys</t>
        </is>
      </c>
      <c r="L4" s="20" t="inlineStr">
        <is>
          <t>Asha Sharma</t>
        </is>
      </c>
      <c r="M4" s="20" t="n">
        <v>4</v>
      </c>
      <c r="N4" s="20" t="n">
        <v>0</v>
      </c>
      <c r="O4" s="20" t="inlineStr">
        <is>
          <t>Money path</t>
        </is>
      </c>
    </row>
    <row r="5">
      <c r="A5" s="19" t="inlineStr">
        <is>
          <t>E2E-03</t>
        </is>
      </c>
      <c r="B5" s="19" t="inlineStr">
        <is>
          <t>Live coach rehearsal</t>
        </is>
      </c>
      <c r="C5" s="19" t="inlineStr">
        <is>
          <t>Candidate App</t>
        </is>
      </c>
      <c r="D5" s="19" t="inlineStr">
        <is>
          <t>/app/live</t>
        </is>
      </c>
      <c r="E5" s="19" t="inlineStr">
        <is>
          <t>/app/sessions/:id</t>
        </is>
      </c>
      <c r="F5" s="19" t="inlineStr">
        <is>
          <t>1. Start 2. Audio 3. Generate answer 4. End 5. Debrief</t>
        </is>
      </c>
      <c r="G5" s="19" t="inlineStr">
        <is>
          <t>Session + transcript + debrief</t>
        </is>
      </c>
      <c r="H5" s="19" t="inlineStr">
        <is>
          <t>OK</t>
        </is>
      </c>
      <c r="I5" s="19" t="inlineStr">
        <is>
          <t>Pass</t>
        </is>
      </c>
      <c r="J5" s="19" t="inlineStr">
        <is>
          <t>Critical</t>
        </is>
      </c>
      <c r="K5" s="19" t="inlineStr">
        <is>
          <t>Deepgram, Gemini, Credits</t>
        </is>
      </c>
      <c r="L5" s="19" t="inlineStr">
        <is>
          <t>Priya Nair</t>
        </is>
      </c>
      <c r="M5" s="19" t="n">
        <v>5</v>
      </c>
      <c r="N5" s="19" t="n">
        <v>4</v>
      </c>
      <c r="O5" s="19" t="inlineStr"/>
    </row>
    <row r="6">
      <c r="A6" s="20" t="inlineStr">
        <is>
          <t>E2E-04</t>
        </is>
      </c>
      <c r="B6" s="20" t="inlineStr">
        <is>
          <t>Gov exam create to results</t>
        </is>
      </c>
      <c r="C6" s="20" t="inlineStr">
        <is>
          <t>Candidate App</t>
        </is>
      </c>
      <c r="D6" s="20" t="inlineStr">
        <is>
          <t>/app/mock-test</t>
        </is>
      </c>
      <c r="E6" s="20" t="inlineStr">
        <is>
          <t>/app/mock-test/results/:id</t>
        </is>
      </c>
      <c r="F6" s="20" t="inlineStr">
        <is>
          <t>1. Select exam 2. create-test 3. Answer 4. submit 5. Results</t>
        </is>
      </c>
      <c r="G6" s="20" t="inlineStr">
        <is>
          <t>Atomic score, no double submit</t>
        </is>
      </c>
      <c r="H6" s="20" t="inlineStr">
        <is>
          <t>OK</t>
        </is>
      </c>
      <c r="I6" s="20" t="inlineStr">
        <is>
          <t>Pass</t>
        </is>
      </c>
      <c r="J6" s="20" t="inlineStr">
        <is>
          <t>High</t>
        </is>
      </c>
      <c r="K6" s="20" t="inlineStr">
        <is>
          <t>Question bank</t>
        </is>
      </c>
      <c r="L6" s="20" t="inlineStr">
        <is>
          <t>Rohan Mehta</t>
        </is>
      </c>
      <c r="M6" s="20" t="n">
        <v>3.5</v>
      </c>
      <c r="N6" s="20" t="n">
        <v>3</v>
      </c>
      <c r="O6" s="20" t="inlineStr">
        <is>
          <t>Thin content</t>
        </is>
      </c>
    </row>
    <row r="7">
      <c r="A7" s="19" t="inlineStr">
        <is>
          <t>E2E-05</t>
        </is>
      </c>
      <c r="B7" s="19" t="inlineStr">
        <is>
          <t>Admin seed to candidate test</t>
        </is>
      </c>
      <c r="C7" s="19" t="inlineStr">
        <is>
          <t>Admin Portal</t>
        </is>
      </c>
      <c r="D7" s="19" t="inlineStr">
        <is>
          <t>/app/admin/seed-questions</t>
        </is>
      </c>
      <c r="E7" s="19" t="inlineStr">
        <is>
          <t>/app/mock-test</t>
        </is>
      </c>
      <c r="F7" s="19" t="inlineStr">
        <is>
          <t>1. Import questions 2. Candidate creates test</t>
        </is>
      </c>
      <c r="G7" s="19" t="inlineStr">
        <is>
          <t>Imported questions available</t>
        </is>
      </c>
      <c r="H7" s="19" t="inlineStr">
        <is>
          <t>Blocked</t>
        </is>
      </c>
      <c r="I7" s="19" t="inlineStr">
        <is>
          <t>Blocked</t>
        </is>
      </c>
      <c r="J7" s="19" t="inlineStr">
        <is>
          <t>High</t>
        </is>
      </c>
      <c r="K7" s="19" t="inlineStr">
        <is>
          <t>Admin, Gemini PDF</t>
        </is>
      </c>
      <c r="L7" s="19" t="inlineStr">
        <is>
          <t>Rohan Mehta</t>
        </is>
      </c>
      <c r="M7" s="19" t="n">
        <v>4</v>
      </c>
      <c r="N7" s="19" t="n">
        <v>1</v>
      </c>
      <c r="O7" s="19" t="inlineStr"/>
    </row>
    <row r="8">
      <c r="A8" s="20" t="inlineStr">
        <is>
          <t>E2E-06</t>
        </is>
      </c>
      <c r="B8" s="20" t="inlineStr">
        <is>
          <t>Electron overlay boot</t>
        </is>
      </c>
      <c r="C8" s="20" t="inlineStr">
        <is>
          <t>Electron Overlay</t>
        </is>
      </c>
      <c r="D8" s="20" t="inlineStr">
        <is>
          <t>Clarify AI.exe</t>
        </is>
      </c>
      <c r="E8" s="20" t="inlineStr">
        <is>
          <t>Overlay window</t>
        </is>
      </c>
      <c r="F8" s="20" t="inlineStr">
        <is>
          <t>1. Launch 2. Auth if needed 3. Overlay topmost 4. Hotkey</t>
        </is>
      </c>
      <c r="G8" s="20" t="inlineStr">
        <is>
          <t>Overlay-only shell</t>
        </is>
      </c>
      <c r="H8" s="20" t="inlineStr"/>
      <c r="I8" s="20" t="inlineStr">
        <is>
          <t>Not Run</t>
        </is>
      </c>
      <c r="J8" s="20" t="inlineStr">
        <is>
          <t>Critical</t>
        </is>
      </c>
      <c r="K8" s="20" t="inlineStr">
        <is>
          <t>Code signing deferred</t>
        </is>
      </c>
      <c r="L8" s="20" t="inlineStr">
        <is>
          <t>Dev Patel</t>
        </is>
      </c>
      <c r="M8" s="20" t="n">
        <v>3</v>
      </c>
      <c r="N8" s="20" t="n">
        <v>0</v>
      </c>
      <c r="O8" s="20" t="inlineStr">
        <is>
          <t>Unsigned beta OK</t>
        </is>
      </c>
    </row>
    <row r="9">
      <c r="A9" s="21" t="inlineStr">
        <is>
          <t>TOTAL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21">
        <f>SUM(M3:M8)</f>
        <v/>
      </c>
      <c r="N9" s="21">
        <f>SUM(N3:N8)</f>
        <v/>
      </c>
      <c r="O9" s="19" t="n"/>
    </row>
  </sheetData>
  <autoFilter ref="A2:O9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J3:J500">
    <cfRule type="cellIs" priority="18" operator="equal" dxfId="0">
      <formula>"Critical"</formula>
    </cfRule>
    <cfRule type="cellIs" priority="19" operator="equal" dxfId="1">
      <formula>"High"</formula>
    </cfRule>
    <cfRule type="cellIs" priority="20" operator="equal" dxfId="2">
      <formula>"Medium"</formula>
    </cfRule>
    <cfRule type="cellIs" priority="21" operator="equal" dxfId="3">
      <formula>"Low"</formula>
    </cfRule>
  </conditionalFormatting>
  <dataValidations count="4">
    <dataValidation sqref="C3:C5000" showDropDown="0" showInputMessage="0" showErrorMessage="0" allowBlank="1" errorTitle="Invalid" error="Pick a value from the list" type="list">
      <formula1>Lists!$AA$2:$AA$7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L3:L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26" customWidth="1" min="4" max="4"/>
    <col width="22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5" customWidth="1" min="20" max="20"/>
    <col width="28" customWidth="1" min="21" max="21"/>
    <col width="30" customWidth="1" min="22" max="22"/>
    <col width="12" customWidth="1" min="23" max="23"/>
    <col width="21" customWidth="1" min="24" max="24"/>
  </cols>
  <sheetData>
    <row r="1">
      <c r="A1" s="1" t="inlineStr">
        <is>
          <t>Bug Tracker</t>
        </is>
      </c>
    </row>
    <row r="2">
      <c r="A2" s="18" t="inlineStr">
        <is>
          <t>Bug ID</t>
        </is>
      </c>
      <c r="B2" s="18" t="inlineStr">
        <is>
          <t>Title</t>
        </is>
      </c>
      <c r="C2" s="18" t="inlineStr">
        <is>
          <t>Description</t>
        </is>
      </c>
      <c r="D2" s="18" t="inlineStr">
        <is>
          <t>Module</t>
        </is>
      </c>
      <c r="E2" s="18" t="inlineStr">
        <is>
          <t>Feature</t>
        </is>
      </c>
      <c r="F2" s="18" t="inlineStr">
        <is>
          <t>Environment</t>
        </is>
      </c>
      <c r="G2" s="18" t="inlineStr">
        <is>
          <t>Browser</t>
        </is>
      </c>
      <c r="H2" s="18" t="inlineStr">
        <is>
          <t>Device</t>
        </is>
      </c>
      <c r="I2" s="18" t="inlineStr">
        <is>
          <t>OS</t>
        </is>
      </c>
      <c r="J2" s="18" t="inlineStr">
        <is>
          <t>Severity</t>
        </is>
      </c>
      <c r="K2" s="18" t="inlineStr">
        <is>
          <t>Priority</t>
        </is>
      </c>
      <c r="L2" s="18" t="inlineStr">
        <is>
          <t>Status</t>
        </is>
      </c>
      <c r="M2" s="18" t="inlineStr">
        <is>
          <t>Assigned To</t>
        </is>
      </c>
      <c r="N2" s="18" t="inlineStr">
        <is>
          <t>Reported By</t>
        </is>
      </c>
      <c r="O2" s="18" t="inlineStr">
        <is>
          <t>Found Date</t>
        </is>
      </c>
      <c r="P2" s="18" t="inlineStr">
        <is>
          <t>Fixed Date</t>
        </is>
      </c>
      <c r="Q2" s="18" t="inlineStr">
        <is>
          <t>Retest Date</t>
        </is>
      </c>
      <c r="R2" s="18" t="inlineStr">
        <is>
          <t>Build</t>
        </is>
      </c>
      <c r="S2" s="18" t="inlineStr">
        <is>
          <t>Sprint</t>
        </is>
      </c>
      <c r="T2" s="18" t="inlineStr">
        <is>
          <t>Root Cause</t>
        </is>
      </c>
      <c r="U2" s="18" t="inlineStr">
        <is>
          <t>Resolution</t>
        </is>
      </c>
      <c r="V2" s="18" t="inlineStr">
        <is>
          <t>Screenshot Link</t>
        </is>
      </c>
      <c r="W2" s="18" t="inlineStr">
        <is>
          <t>Video Link</t>
        </is>
      </c>
      <c r="X2" s="18" t="inlineStr">
        <is>
          <t>Comments</t>
        </is>
      </c>
    </row>
    <row r="3">
      <c r="A3" s="19" t="inlineStr">
        <is>
          <t>BUG-001</t>
        </is>
      </c>
      <c r="B3" s="19" t="inlineStr">
        <is>
          <t>Free user overlay capture allowed</t>
        </is>
      </c>
      <c r="C3" s="19" t="inlineStr">
        <is>
          <t>Overlay path succeeded for free before Pro gate</t>
        </is>
      </c>
      <c r="D3" s="19" t="inlineStr">
        <is>
          <t>Live Practice Coach</t>
        </is>
      </c>
      <c r="E3" s="19" t="inlineStr">
        <is>
          <t>Pro gate overlay</t>
        </is>
      </c>
      <c r="F3" s="19" t="inlineStr">
        <is>
          <t>Staging</t>
        </is>
      </c>
      <c r="G3" s="19" t="inlineStr">
        <is>
          <t>Electron</t>
        </is>
      </c>
      <c r="H3" s="19" t="inlineStr">
        <is>
          <t>Desktop</t>
        </is>
      </c>
      <c r="I3" s="19" t="inlineStr">
        <is>
          <t>Windows</t>
        </is>
      </c>
      <c r="J3" s="19" t="inlineStr">
        <is>
          <t>High</t>
        </is>
      </c>
      <c r="K3" s="19" t="inlineStr">
        <is>
          <t>Critical</t>
        </is>
      </c>
      <c r="L3" s="19" t="inlineStr">
        <is>
          <t>Closed</t>
        </is>
      </c>
      <c r="M3" s="19" t="inlineStr">
        <is>
          <t>Live Coach</t>
        </is>
      </c>
      <c r="N3" s="19" t="inlineStr">
        <is>
          <t>Dev Patel</t>
        </is>
      </c>
      <c r="O3" s="22" t="n">
        <v>46226</v>
      </c>
      <c r="P3" s="22" t="n">
        <v>46230</v>
      </c>
      <c r="Q3" s="22" t="n">
        <v>46231</v>
      </c>
      <c r="R3" s="19" t="inlineStr">
        <is>
          <t>1.0.0</t>
        </is>
      </c>
      <c r="S3" s="19" t="inlineStr">
        <is>
          <t>Sprint 26</t>
        </is>
      </c>
      <c r="T3" s="19" t="inlineStr">
        <is>
          <t>Logic Bug</t>
        </is>
      </c>
      <c r="U3" s="19" t="inlineStr">
        <is>
          <t>requirePlan pro on overlay</t>
        </is>
      </c>
      <c r="V3" s="19" t="inlineStr"/>
      <c r="W3" s="19" t="inlineStr"/>
      <c r="X3" s="19" t="inlineStr">
        <is>
          <t>Retested TC-004</t>
        </is>
      </c>
    </row>
    <row r="4">
      <c r="A4" s="20" t="inlineStr">
        <is>
          <t>BUG-002</t>
        </is>
      </c>
      <c r="B4" s="20" t="inlineStr">
        <is>
          <t>Razorpay plan does not auto-renew</t>
        </is>
      </c>
      <c r="C4" s="20" t="inlineStr">
        <is>
          <t>pro_monthly is one-time Order only</t>
        </is>
      </c>
      <c r="D4" s="20" t="inlineStr">
        <is>
          <t>Billing &amp; Credits</t>
        </is>
      </c>
      <c r="E4" s="20" t="inlineStr">
        <is>
          <t>Razorpay INR</t>
        </is>
      </c>
      <c r="F4" s="20" t="inlineStr">
        <is>
          <t>Production</t>
        </is>
      </c>
      <c r="G4" s="20" t="inlineStr">
        <is>
          <t>Chrome</t>
        </is>
      </c>
      <c r="H4" s="20" t="inlineStr">
        <is>
          <t>Desktop</t>
        </is>
      </c>
      <c r="I4" s="20" t="inlineStr">
        <is>
          <t>Windows</t>
        </is>
      </c>
      <c r="J4" s="20" t="inlineStr">
        <is>
          <t>High</t>
        </is>
      </c>
      <c r="K4" s="20" t="inlineStr">
        <is>
          <t>High</t>
        </is>
      </c>
      <c r="L4" s="20" t="inlineStr">
        <is>
          <t>Open</t>
        </is>
      </c>
      <c r="M4" s="20" t="inlineStr">
        <is>
          <t>Billing</t>
        </is>
      </c>
      <c r="N4" s="20" t="inlineStr">
        <is>
          <t>Asha Sharma</t>
        </is>
      </c>
      <c r="O4" s="23" t="n">
        <v>46221</v>
      </c>
      <c r="P4" s="20" t="inlineStr"/>
      <c r="Q4" s="20" t="inlineStr"/>
      <c r="R4" s="20" t="inlineStr">
        <is>
          <t>1.0.0</t>
        </is>
      </c>
      <c r="S4" s="20" t="inlineStr">
        <is>
          <t>Sprint 25</t>
        </is>
      </c>
      <c r="T4" s="20" t="inlineStr">
        <is>
          <t>Design Gap</t>
        </is>
      </c>
      <c r="U4" s="20" t="inlineStr"/>
      <c r="V4" s="20" t="inlineStr"/>
      <c r="W4" s="20" t="inlineStr"/>
      <c r="X4" s="20" t="inlineStr">
        <is>
          <t>Roadmap — CHANGELOG</t>
        </is>
      </c>
    </row>
    <row r="5">
      <c r="A5" s="19" t="inlineStr">
        <is>
          <t>BUG-003</t>
        </is>
      </c>
      <c r="B5" s="19" t="inlineStr">
        <is>
          <t>Google Calendar sync 501</t>
        </is>
      </c>
      <c r="C5" s="19" t="inlineStr">
        <is>
          <t>Missing OAuth secrets in staging</t>
        </is>
      </c>
      <c r="D5" s="19" t="inlineStr">
        <is>
          <t>Interviews &amp; Calendar</t>
        </is>
      </c>
      <c r="E5" s="19" t="inlineStr">
        <is>
          <t>Google Calendar sync</t>
        </is>
      </c>
      <c r="F5" s="19" t="inlineStr">
        <is>
          <t>Staging</t>
        </is>
      </c>
      <c r="G5" s="19" t="inlineStr">
        <is>
          <t>Chrome</t>
        </is>
      </c>
      <c r="H5" s="19" t="inlineStr">
        <is>
          <t>Laptop</t>
        </is>
      </c>
      <c r="I5" s="19" t="inlineStr">
        <is>
          <t>macOS</t>
        </is>
      </c>
      <c r="J5" s="19" t="inlineStr">
        <is>
          <t>Medium</t>
        </is>
      </c>
      <c r="K5" s="19" t="inlineStr">
        <is>
          <t>High</t>
        </is>
      </c>
      <c r="L5" s="19" t="inlineStr">
        <is>
          <t>Blocked</t>
        </is>
      </c>
      <c r="M5" s="19" t="inlineStr">
        <is>
          <t>Scheduling</t>
        </is>
      </c>
      <c r="N5" s="19" t="inlineStr">
        <is>
          <t>Priya Nair</t>
        </is>
      </c>
      <c r="O5" s="22" t="n">
        <v>46228</v>
      </c>
      <c r="P5" s="19" t="inlineStr"/>
      <c r="Q5" s="19" t="inlineStr"/>
      <c r="R5" s="19" t="inlineStr">
        <is>
          <t>1.0.0</t>
        </is>
      </c>
      <c r="S5" s="19" t="inlineStr">
        <is>
          <t>Sprint 26</t>
        </is>
      </c>
      <c r="T5" s="19" t="inlineStr">
        <is>
          <t>Config/Env</t>
        </is>
      </c>
      <c r="U5" s="19" t="inlineStr"/>
      <c r="V5" s="19" t="inlineStr"/>
      <c r="W5" s="19" t="inlineStr"/>
      <c r="X5" s="19" t="inlineStr">
        <is>
          <t>Need secrets</t>
        </is>
      </c>
    </row>
    <row r="6">
      <c r="A6" s="20" t="inlineStr">
        <is>
          <t>BUG-004</t>
        </is>
      </c>
      <c r="B6" s="20" t="inlineStr">
        <is>
          <t>Gov exam bank too thin</t>
        </is>
      </c>
      <c r="C6" s="20" t="inlineStr">
        <is>
          <t>~26 seeded MCQs only</t>
        </is>
      </c>
      <c r="D6" s="20" t="inlineStr">
        <is>
          <t>Gov Exam Mock Tests</t>
        </is>
      </c>
      <c r="E6" s="20" t="inlineStr">
        <is>
          <t>Question bank</t>
        </is>
      </c>
      <c r="F6" s="20" t="inlineStr">
        <is>
          <t>Staging</t>
        </is>
      </c>
      <c r="G6" s="20" t="inlineStr">
        <is>
          <t>Chrome</t>
        </is>
      </c>
      <c r="H6" s="20" t="inlineStr">
        <is>
          <t>Desktop</t>
        </is>
      </c>
      <c r="I6" s="20" t="inlineStr">
        <is>
          <t>Windows</t>
        </is>
      </c>
      <c r="J6" s="20" t="inlineStr">
        <is>
          <t>Medium</t>
        </is>
      </c>
      <c r="K6" s="20" t="inlineStr">
        <is>
          <t>High</t>
        </is>
      </c>
      <c r="L6" s="20" t="inlineStr">
        <is>
          <t>Open</t>
        </is>
      </c>
      <c r="M6" s="20" t="inlineStr">
        <is>
          <t>GovExams</t>
        </is>
      </c>
      <c r="N6" s="20" t="inlineStr">
        <is>
          <t>Kavya Iyer</t>
        </is>
      </c>
      <c r="O6" s="23" t="n">
        <v>46217</v>
      </c>
      <c r="P6" s="20" t="inlineStr"/>
      <c r="Q6" s="20" t="inlineStr"/>
      <c r="R6" s="20" t="inlineStr">
        <is>
          <t>1.0.0</t>
        </is>
      </c>
      <c r="S6" s="20" t="inlineStr">
        <is>
          <t>Sprint 24</t>
        </is>
      </c>
      <c r="T6" s="20" t="inlineStr">
        <is>
          <t>Design Gap</t>
        </is>
      </c>
      <c r="U6" s="20" t="inlineStr"/>
      <c r="V6" s="20" t="inlineStr"/>
      <c r="W6" s="20" t="inlineStr"/>
      <c r="X6" s="20" t="inlineStr">
        <is>
          <t>Content gap</t>
        </is>
      </c>
    </row>
    <row r="7">
      <c r="A7" s="19" t="inlineStr">
        <is>
          <t>BUG-005</t>
        </is>
      </c>
      <c r="B7" s="19" t="inlineStr">
        <is>
          <t>Unsigned Windows installer</t>
        </is>
      </c>
      <c r="C7" s="19" t="inlineStr">
        <is>
          <t>SmartScreen warn; signAndEditExecutable false</t>
        </is>
      </c>
      <c r="D7" s="19" t="inlineStr">
        <is>
          <t>Electron Desktop Overlay</t>
        </is>
      </c>
      <c r="E7" s="19" t="inlineStr">
        <is>
          <t>Code signing</t>
        </is>
      </c>
      <c r="F7" s="19" t="inlineStr">
        <is>
          <t>Production</t>
        </is>
      </c>
      <c r="G7" s="19" t="inlineStr">
        <is>
          <t>N/A</t>
        </is>
      </c>
      <c r="H7" s="19" t="inlineStr">
        <is>
          <t>Desktop</t>
        </is>
      </c>
      <c r="I7" s="19" t="inlineStr">
        <is>
          <t>Windows</t>
        </is>
      </c>
      <c r="J7" s="19" t="inlineStr">
        <is>
          <t>Low</t>
        </is>
      </c>
      <c r="K7" s="19" t="inlineStr">
        <is>
          <t>Medium</t>
        </is>
      </c>
      <c r="L7" s="19" t="inlineStr">
        <is>
          <t>Won't Fix</t>
        </is>
      </c>
      <c r="M7" s="19" t="inlineStr">
        <is>
          <t>Desktop</t>
        </is>
      </c>
      <c r="N7" s="19" t="inlineStr">
        <is>
          <t>Dev Patel</t>
        </is>
      </c>
      <c r="O7" s="22" t="n">
        <v>46211</v>
      </c>
      <c r="P7" s="19" t="inlineStr"/>
      <c r="Q7" s="19" t="inlineStr"/>
      <c r="R7" s="19" t="inlineStr">
        <is>
          <t>1.0.0</t>
        </is>
      </c>
      <c r="S7" s="19" t="inlineStr">
        <is>
          <t>Sprint 24</t>
        </is>
      </c>
      <c r="T7" s="19" t="inlineStr">
        <is>
          <t>Config/Env</t>
        </is>
      </c>
      <c r="U7" s="19" t="inlineStr">
        <is>
          <t>Deferred pending cert</t>
        </is>
      </c>
      <c r="V7" s="19" t="inlineStr"/>
      <c r="W7" s="19" t="inlineStr"/>
      <c r="X7" s="19" t="inlineStr">
        <is>
          <t>P4-6</t>
        </is>
      </c>
    </row>
    <row r="8">
      <c r="A8" s="20" t="inlineStr">
        <is>
          <t>BUG-006</t>
        </is>
      </c>
      <c r="B8" s="20" t="inlineStr">
        <is>
          <t>Admin table overflow on mobile</t>
        </is>
      </c>
      <c r="C8" s="20" t="inlineStr">
        <is>
          <t>Users table hard to use under 768px</t>
        </is>
      </c>
      <c r="D8" s="20" t="inlineStr">
        <is>
          <t>Admin Portal</t>
        </is>
      </c>
      <c r="E8" s="20" t="inlineStr">
        <is>
          <t>Admin users</t>
        </is>
      </c>
      <c r="F8" s="20" t="inlineStr">
        <is>
          <t>Staging</t>
        </is>
      </c>
      <c r="G8" s="20" t="inlineStr">
        <is>
          <t>Chrome</t>
        </is>
      </c>
      <c r="H8" s="20" t="inlineStr">
        <is>
          <t>Android Phone</t>
        </is>
      </c>
      <c r="I8" s="20" t="inlineStr">
        <is>
          <t>Android</t>
        </is>
      </c>
      <c r="J8" s="20" t="inlineStr">
        <is>
          <t>Low</t>
        </is>
      </c>
      <c r="K8" s="20" t="inlineStr">
        <is>
          <t>Low</t>
        </is>
      </c>
      <c r="L8" s="20" t="inlineStr">
        <is>
          <t>Open</t>
        </is>
      </c>
      <c r="M8" s="20" t="inlineStr">
        <is>
          <t>Admin</t>
        </is>
      </c>
      <c r="N8" s="20" t="inlineStr">
        <is>
          <t>Rohan Mehta</t>
        </is>
      </c>
      <c r="O8" s="23" t="n">
        <v>46229</v>
      </c>
      <c r="P8" s="20" t="inlineStr"/>
      <c r="Q8" s="20" t="inlineStr"/>
      <c r="R8" s="20" t="inlineStr">
        <is>
          <t>1.0.0</t>
        </is>
      </c>
      <c r="S8" s="20" t="inlineStr">
        <is>
          <t>Sprint 26</t>
        </is>
      </c>
      <c r="T8" s="20" t="inlineStr">
        <is>
          <t>UI Regression</t>
        </is>
      </c>
      <c r="U8" s="20" t="inlineStr"/>
      <c r="V8" s="20" t="inlineStr">
        <is>
          <t>https://example.com/shot.png</t>
        </is>
      </c>
      <c r="W8" s="20" t="inlineStr"/>
      <c r="X8" s="20" t="inlineStr"/>
    </row>
  </sheetData>
  <autoFilter ref="A2:X8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3:K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1">
    <dataValidation sqref="D3:D5000" showDropDown="0" showInputMessage="0" showErrorMessage="0" allowBlank="1" errorTitle="Invalid" error="Pick a value from the list" type="list">
      <formula1>Lists!$Z$2:$Z$21</formula1>
    </dataValidation>
    <dataValidation sqref="F3:F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Lists!$F$2:$F$7</formula1>
    </dataValidation>
    <dataValidation sqref="H3:H5000" showDropDown="0" showInputMessage="0" showErrorMessage="0" allowBlank="1" errorTitle="Invalid" error="Pick a value from the list" type="list">
      <formula1>Lists!$G$2:$G$7</formula1>
    </dataValidation>
    <dataValidation sqref="J3:J5000" showDropDown="0" showInputMessage="0" showErrorMessage="0" allowBlank="1" errorTitle="Invalid" error="Pick a value from the list" type="list">
      <formula1>Lists!$D$2:$D$5</formula1>
    </dataValidation>
    <dataValidation sqref="K3:K5000" showDropDown="0" showInputMessage="0" showErrorMessage="0" allowBlank="1" errorTitle="Invalid" error="Pick a value from the list" type="list">
      <formula1>Lists!$C$2:$C$5</formula1>
    </dataValidation>
    <dataValidation sqref="L3:L5000" showDropDown="0" showInputMessage="0" showErrorMessage="0" allowBlank="1" errorTitle="Invalid" error="Pick a value from the list" type="list">
      <formula1>Lists!$K$2:$K$9</formula1>
    </dataValidation>
    <dataValidation sqref="M3:M5000" showDropDown="0" showInputMessage="0" showErrorMessage="0" allowBlank="1" errorTitle="Invalid" error="Pick a value from the list" type="list">
      <formula1>Lists!$AD$2:$AD$17</formula1>
    </dataValidation>
    <dataValidation sqref="N3:N5000" showDropDown="0" showInputMessage="0" showErrorMessage="0" allowBlank="1" errorTitle="Invalid" error="Pick a value from the list" type="list">
      <formula1>Lists!$AC$2:$AC$6</formula1>
    </dataValidation>
    <dataValidation sqref="S3:S5000" showDropDown="0" showInputMessage="0" showErrorMessage="0" allowBlank="1" errorTitle="Invalid" error="Pick a value from the list" type="list">
      <formula1>Lists!$W$2:$W$6</formula1>
    </dataValidation>
    <dataValidation sqref="T3:T5000" showDropDown="0" showInputMessage="0" showErrorMessage="0" allowBlank="1" errorTitle="Invalid" error="Pick a value from the list" type="list">
      <formula1>Lists!$Y$2:$Y$11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UI/UX Testing</t>
        </is>
      </c>
    </row>
    <row r="2">
      <c r="A2" s="18" t="inlineStr">
        <is>
          <t>Screen</t>
        </is>
      </c>
      <c r="B2" s="18" t="inlineStr">
        <is>
          <t>Component</t>
        </is>
      </c>
      <c r="C2" s="18" t="inlineStr">
        <is>
          <t>Alignment</t>
        </is>
      </c>
      <c r="D2" s="18" t="inlineStr">
        <is>
          <t>Spacing</t>
        </is>
      </c>
      <c r="E2" s="18" t="inlineStr">
        <is>
          <t>Responsive</t>
        </is>
      </c>
      <c r="F2" s="18" t="inlineStr">
        <is>
          <t>Typography</t>
        </is>
      </c>
      <c r="G2" s="18" t="inlineStr">
        <is>
          <t>Icons</t>
        </is>
      </c>
      <c r="H2" s="18" t="inlineStr">
        <is>
          <t>Accessibility</t>
        </is>
      </c>
      <c r="I2" s="18" t="inlineStr">
        <is>
          <t>Dark Mode</t>
        </is>
      </c>
      <c r="J2" s="18" t="inlineStr">
        <is>
          <t>Light Mode</t>
        </is>
      </c>
      <c r="K2" s="18" t="inlineStr">
        <is>
          <t>Animation</t>
        </is>
      </c>
      <c r="L2" s="18" t="inlineStr">
        <is>
          <t>Pass</t>
        </is>
      </c>
      <c r="M2" s="18" t="inlineStr">
        <is>
          <t>Remarks</t>
        </is>
      </c>
    </row>
    <row r="3">
      <c r="A3" s="19" t="inlineStr">
        <is>
          <t>/pricing</t>
        </is>
      </c>
      <c r="B3" s="19" t="inlineStr">
        <is>
          <t>Plan cards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Partial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Max $79</t>
        </is>
      </c>
    </row>
    <row r="4">
      <c r="A4" s="20" t="inlineStr">
        <is>
          <t>/app/live</t>
        </is>
      </c>
      <c r="B4" s="20" t="inlineStr">
        <is>
          <t>Transcript panel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Partial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Partial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Electron primary</t>
        </is>
      </c>
    </row>
    <row r="5">
      <c r="A5" s="19" t="inlineStr">
        <is>
          <t>/app/dashboard</t>
        </is>
      </c>
      <c r="B5" s="19" t="inlineStr">
        <is>
          <t>KPI cards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Pass</t>
        </is>
      </c>
      <c r="M5" s="19" t="inlineStr"/>
    </row>
    <row r="6">
      <c r="A6" s="20" t="inlineStr">
        <is>
          <t>/app/admin/revenue</t>
        </is>
      </c>
      <c r="B6" s="20" t="inlineStr">
        <is>
          <t>USD/INR charts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Pass</t>
        </is>
      </c>
      <c r="G6" s="20" t="inlineStr">
        <is>
          <t>Pass</t>
        </is>
      </c>
      <c r="H6" s="20" t="inlineStr">
        <is>
          <t>Partial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N/A</t>
        </is>
      </c>
      <c r="L6" s="20" t="inlineStr">
        <is>
          <t>Pass</t>
        </is>
      </c>
      <c r="M6" s="20" t="inlineStr"/>
    </row>
    <row r="7">
      <c r="A7" s="19" t="inlineStr">
        <is>
          <t>/login</t>
        </is>
      </c>
      <c r="B7" s="19" t="inlineStr">
        <is>
          <t>Auth form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N/A</t>
        </is>
      </c>
      <c r="L7" s="19" t="inlineStr">
        <is>
          <t>Pass</t>
        </is>
      </c>
      <c r="M7" s="19" t="inlineStr"/>
    </row>
  </sheetData>
  <autoFilter ref="A2:M7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dataValidations count="10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Mobile Responsiveness</t>
        </is>
      </c>
    </row>
    <row r="2">
      <c r="A2" s="18" t="inlineStr">
        <is>
          <t>Screen</t>
        </is>
      </c>
      <c r="B2" s="18" t="inlineStr">
        <is>
          <t>Android</t>
        </is>
      </c>
      <c r="C2" s="18" t="inlineStr">
        <is>
          <t>iPhone</t>
        </is>
      </c>
      <c r="D2" s="18" t="inlineStr">
        <is>
          <t>Tablet</t>
        </is>
      </c>
      <c r="E2" s="18" t="inlineStr">
        <is>
          <t>Landscape</t>
        </is>
      </c>
      <c r="F2" s="18" t="inlineStr">
        <is>
          <t>Portrait</t>
        </is>
      </c>
      <c r="G2" s="18" t="inlineStr">
        <is>
          <t>Small Screen</t>
        </is>
      </c>
      <c r="H2" s="18" t="inlineStr">
        <is>
          <t>Medium Screen</t>
        </is>
      </c>
      <c r="I2" s="18" t="inlineStr">
        <is>
          <t>Large Screen</t>
        </is>
      </c>
      <c r="J2" s="18" t="inlineStr">
        <is>
          <t>Responsive</t>
        </is>
      </c>
      <c r="K2" s="18" t="inlineStr">
        <is>
          <t>Pass</t>
        </is>
      </c>
      <c r="L2" s="18" t="inlineStr">
        <is>
          <t>Comments</t>
        </is>
      </c>
    </row>
    <row r="3">
      <c r="A3" s="19" t="inlineStr">
        <is>
          <t>/app/dashboard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Yes</t>
        </is>
      </c>
      <c r="K3" s="19" t="inlineStr">
        <is>
          <t>Pass</t>
        </is>
      </c>
      <c r="L3" s="19" t="inlineStr">
        <is>
          <t>MobileNav partial</t>
        </is>
      </c>
    </row>
    <row r="4">
      <c r="A4" s="20" t="inlineStr">
        <is>
          <t>/app/mock-test/session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Partial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Yes</t>
        </is>
      </c>
      <c r="K4" s="20" t="inlineStr">
        <is>
          <t>Pass</t>
        </is>
      </c>
      <c r="L4" s="20" t="inlineStr"/>
    </row>
    <row r="5">
      <c r="A5" s="19" t="inlineStr">
        <is>
          <t>/pricing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Yes</t>
        </is>
      </c>
      <c r="K5" s="19" t="inlineStr">
        <is>
          <t>Pass</t>
        </is>
      </c>
      <c r="L5" s="19" t="inlineStr"/>
    </row>
    <row r="6">
      <c r="A6" s="20" t="inlineStr">
        <is>
          <t>/app/live</t>
        </is>
      </c>
      <c r="B6" s="20" t="inlineStr">
        <is>
          <t>Fail</t>
        </is>
      </c>
      <c r="C6" s="20" t="inlineStr">
        <is>
          <t>Fail</t>
        </is>
      </c>
      <c r="D6" s="20" t="inlineStr">
        <is>
          <t>Partial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Fail</t>
        </is>
      </c>
      <c r="H6" s="20" t="inlineStr">
        <is>
          <t>Partial</t>
        </is>
      </c>
      <c r="I6" s="20" t="inlineStr">
        <is>
          <t>Pass</t>
        </is>
      </c>
      <c r="J6" s="20" t="inlineStr">
        <is>
          <t>Partial</t>
        </is>
      </c>
      <c r="K6" s="20" t="inlineStr">
        <is>
          <t>Fail</t>
        </is>
      </c>
      <c r="L6" s="20" t="inlineStr">
        <is>
          <t>Desktop-first</t>
        </is>
      </c>
    </row>
    <row r="7">
      <c r="A7" s="19" t="inlineStr">
        <is>
          <t>/app/admin/users</t>
        </is>
      </c>
      <c r="B7" s="19" t="inlineStr">
        <is>
          <t>Partial</t>
        </is>
      </c>
      <c r="C7" s="19" t="inlineStr">
        <is>
          <t>Partial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Partial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Partial</t>
        </is>
      </c>
      <c r="K7" s="19" t="inlineStr">
        <is>
          <t>Partial</t>
        </is>
      </c>
      <c r="L7" s="19" t="inlineStr">
        <is>
          <t>Wide tables</t>
        </is>
      </c>
    </row>
  </sheetData>
  <autoFilter ref="A2:L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dataValidations count="10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6" customWidth="1" min="3" max="3"/>
    <col width="16" customWidth="1" min="4" max="4"/>
    <col width="28" customWidth="1" min="5" max="5"/>
    <col width="24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API Testing — Supabase Edge Functions</t>
        </is>
      </c>
    </row>
    <row r="2">
      <c r="A2" s="18" t="inlineStr">
        <is>
          <t>API Name</t>
        </is>
      </c>
      <c r="B2" s="18" t="inlineStr">
        <is>
          <t>Method</t>
        </is>
      </c>
      <c r="C2" s="18" t="inlineStr">
        <is>
          <t>Endpoint</t>
        </is>
      </c>
      <c r="D2" s="18" t="inlineStr">
        <is>
          <t>Authentication</t>
        </is>
      </c>
      <c r="E2" s="18" t="inlineStr">
        <is>
          <t>Headers</t>
        </is>
      </c>
      <c r="F2" s="18" t="inlineStr">
        <is>
          <t>Request</t>
        </is>
      </c>
      <c r="G2" s="18" t="inlineStr">
        <is>
          <t>Expected Response</t>
        </is>
      </c>
      <c r="H2" s="18" t="inlineStr">
        <is>
          <t>Actual Response</t>
        </is>
      </c>
      <c r="I2" s="18" t="inlineStr">
        <is>
          <t>Status Code</t>
        </is>
      </c>
      <c r="J2" s="18" t="inlineStr">
        <is>
          <t>Performance</t>
        </is>
      </c>
      <c r="K2" s="18" t="inlineStr">
        <is>
          <t>Security</t>
        </is>
      </c>
      <c r="L2" s="18" t="inlineStr">
        <is>
          <t>Pass</t>
        </is>
      </c>
      <c r="M2" s="18" t="inlineStr">
        <is>
          <t>Comments</t>
        </is>
      </c>
    </row>
    <row r="3">
      <c r="A3" s="19" t="inlineStr">
        <is>
          <t>Create Checkout</t>
        </is>
      </c>
      <c r="B3" s="19" t="inlineStr">
        <is>
          <t>POST</t>
        </is>
      </c>
      <c r="C3" s="19" t="inlineStr">
        <is>
          <t>/functions/v1/create-checkout</t>
        </is>
      </c>
      <c r="D3" s="19" t="inlineStr">
        <is>
          <t>Bearer JWT</t>
        </is>
      </c>
      <c r="E3" s="19" t="inlineStr">
        <is>
          <t>Authorization, apikey</t>
        </is>
      </c>
      <c r="F3" s="19" t="inlineStr">
        <is>
          <t>{"plan":"enterprise"}</t>
        </is>
      </c>
      <c r="G3" s="19" t="inlineStr">
        <is>
          <t>Checkout URL</t>
        </is>
      </c>
      <c r="H3" s="19" t="inlineStr">
        <is>
          <t>URL ok</t>
        </is>
      </c>
      <c r="I3" s="19" t="inlineStr">
        <is>
          <t>200</t>
        </is>
      </c>
      <c r="J3" s="19" t="inlineStr">
        <is>
          <t>Good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Enterprise price</t>
        </is>
      </c>
    </row>
    <row r="4">
      <c r="A4" s="20" t="inlineStr">
        <is>
          <t>Parse Resume</t>
        </is>
      </c>
      <c r="B4" s="20" t="inlineStr">
        <is>
          <t>POST</t>
        </is>
      </c>
      <c r="C4" s="20" t="inlineStr">
        <is>
          <t>/functions/v1/parse-resume</t>
        </is>
      </c>
      <c r="D4" s="20" t="inlineStr">
        <is>
          <t>Bearer JWT</t>
        </is>
      </c>
      <c r="E4" s="20" t="inlineStr">
        <is>
          <t>x-clarify-onboarding-parse</t>
        </is>
      </c>
      <c r="F4" s="20" t="inlineStr">
        <is>
          <t>multipart</t>
        </is>
      </c>
      <c r="G4" s="20" t="inlineStr">
        <is>
          <t>Parsed JSON</t>
        </is>
      </c>
      <c r="H4" s="20" t="inlineStr">
        <is>
          <t>OK</t>
        </is>
      </c>
      <c r="I4" s="20" t="inlineStr">
        <is>
          <t>200</t>
        </is>
      </c>
      <c r="J4" s="20" t="inlineStr">
        <is>
          <t>Acceptable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Free once</t>
        </is>
      </c>
    </row>
    <row r="5">
      <c r="A5" s="19" t="inlineStr">
        <is>
          <t>Generate Answer</t>
        </is>
      </c>
      <c r="B5" s="19" t="inlineStr">
        <is>
          <t>POST</t>
        </is>
      </c>
      <c r="C5" s="19" t="inlineStr">
        <is>
          <t>/functions/v1/generate-answer</t>
        </is>
      </c>
      <c r="D5" s="19" t="inlineStr">
        <is>
          <t>Bearer JWT</t>
        </is>
      </c>
      <c r="E5" s="19" t="inlineStr">
        <is>
          <t>Authorization</t>
        </is>
      </c>
      <c r="F5" s="19" t="inlineStr">
        <is>
          <t>{"mode":"overlay"}</t>
        </is>
      </c>
      <c r="G5" s="19" t="inlineStr">
        <is>
          <t>403 free overlay</t>
        </is>
      </c>
      <c r="H5" s="19" t="inlineStr">
        <is>
          <t>403</t>
        </is>
      </c>
      <c r="I5" s="19" t="inlineStr">
        <is>
          <t>403</t>
        </is>
      </c>
      <c r="J5" s="19" t="inlineStr">
        <is>
          <t>Excellent</t>
        </is>
      </c>
      <c r="K5" s="19" t="inlineStr">
        <is>
          <t>Pass</t>
        </is>
      </c>
      <c r="L5" s="19" t="inlineStr">
        <is>
          <t>Pass</t>
        </is>
      </c>
      <c r="M5" s="19" t="inlineStr">
        <is>
          <t>Pro gate</t>
        </is>
      </c>
    </row>
    <row r="6">
      <c r="A6" s="20" t="inlineStr">
        <is>
          <t>Razorpay Order</t>
        </is>
      </c>
      <c r="B6" s="20" t="inlineStr">
        <is>
          <t>POST</t>
        </is>
      </c>
      <c r="C6" s="20" t="inlineStr">
        <is>
          <t>/functions/v1/razorpay-create-order</t>
        </is>
      </c>
      <c r="D6" s="20" t="inlineStr">
        <is>
          <t>Bearer JWT</t>
        </is>
      </c>
      <c r="E6" s="20" t="inlineStr">
        <is>
          <t>Authorization</t>
        </is>
      </c>
      <c r="F6" s="20" t="inlineStr">
        <is>
          <t>{"pack":"credits_50"}</t>
        </is>
      </c>
      <c r="G6" s="20" t="inlineStr">
        <is>
          <t>order_id</t>
        </is>
      </c>
      <c r="H6" s="20" t="inlineStr">
        <is>
          <t>OK</t>
        </is>
      </c>
      <c r="I6" s="20" t="inlineStr">
        <is>
          <t>200</t>
        </is>
      </c>
      <c r="J6" s="20" t="inlineStr">
        <is>
          <t>Good</t>
        </is>
      </c>
      <c r="K6" s="20" t="inlineStr">
        <is>
          <t>Pass</t>
        </is>
      </c>
      <c r="L6" s="20" t="inlineStr">
        <is>
          <t>Pass</t>
        </is>
      </c>
      <c r="M6" s="20" t="inlineStr">
        <is>
          <t>Rate limited</t>
        </is>
      </c>
    </row>
    <row r="7">
      <c r="A7" s="19" t="inlineStr">
        <is>
          <t>Stripe Webhook</t>
        </is>
      </c>
      <c r="B7" s="19" t="inlineStr">
        <is>
          <t>POST</t>
        </is>
      </c>
      <c r="C7" s="19" t="inlineStr">
        <is>
          <t>/functions/v1/stripe-webhook</t>
        </is>
      </c>
      <c r="D7" s="19" t="inlineStr">
        <is>
          <t>Webhook HMAC</t>
        </is>
      </c>
      <c r="E7" s="19" t="inlineStr">
        <is>
          <t>Stripe-Signature</t>
        </is>
      </c>
      <c r="F7" s="19" t="inlineStr">
        <is>
          <t>invoice.payment_failed</t>
        </is>
      </c>
      <c r="G7" s="19" t="inlineStr">
        <is>
          <t>200 credits intact</t>
        </is>
      </c>
      <c r="H7" s="19" t="inlineStr">
        <is>
          <t>200</t>
        </is>
      </c>
      <c r="I7" s="19" t="inlineStr">
        <is>
          <t>200</t>
        </is>
      </c>
      <c r="J7" s="19" t="inlineStr">
        <is>
          <t>Excellent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P0-2</t>
        </is>
      </c>
    </row>
    <row r="8">
      <c r="A8" s="20" t="inlineStr">
        <is>
          <t>Sync Calendar</t>
        </is>
      </c>
      <c r="B8" s="20" t="inlineStr">
        <is>
          <t>POST</t>
        </is>
      </c>
      <c r="C8" s="20" t="inlineStr">
        <is>
          <t>/functions/v1/sync-calendar</t>
        </is>
      </c>
      <c r="D8" s="20" t="inlineStr">
        <is>
          <t>Bearer JWT</t>
        </is>
      </c>
      <c r="E8" s="20" t="inlineStr">
        <is>
          <t>Authorization</t>
        </is>
      </c>
      <c r="F8" s="20" t="inlineStr">
        <is>
          <t>{}</t>
        </is>
      </c>
      <c r="G8" s="20" t="inlineStr">
        <is>
          <t>501 or events</t>
        </is>
      </c>
      <c r="H8" s="20" t="inlineStr">
        <is>
          <t>501</t>
        </is>
      </c>
      <c r="I8" s="20" t="inlineStr">
        <is>
          <t>501</t>
        </is>
      </c>
      <c r="J8" s="20" t="inlineStr">
        <is>
          <t>N/A</t>
        </is>
      </c>
      <c r="K8" s="20" t="inlineStr">
        <is>
          <t>Pass</t>
        </is>
      </c>
      <c r="L8" s="20" t="inlineStr">
        <is>
          <t>Blocked</t>
        </is>
      </c>
      <c r="M8" s="20" t="inlineStr">
        <is>
          <t>Secrets</t>
        </is>
      </c>
    </row>
  </sheetData>
  <autoFilter ref="A2:M8"/>
  <mergeCells count="1">
    <mergeCell ref="A1:H1"/>
  </mergeCells>
  <conditionalFormatting sqref="L3:L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6">
    <dataValidation sqref="B3:B5000" showDropDown="0" showInputMessage="0" showErrorMessage="0" allowBlank="1" errorTitle="Invalid" error="Pick a value from the list" type="list">
      <formula1>Lists!$T$2:$T$7</formula1>
    </dataValidation>
    <dataValidation sqref="D3:D5000" showDropDown="0" showInputMessage="0" showErrorMessage="0" allowBlank="1" errorTitle="Invalid" error="Pick a value from the list" type="list">
      <formula1>Lists!$V$2:$V$7</formula1>
    </dataValidation>
    <dataValidation sqref="I3:I5000" showDropDown="0" showInputMessage="0" showErrorMessage="0" allowBlank="1" errorTitle="Invalid" error="Pick a value from the list" type="list">
      <formula1>Lists!$U$2:$U$13</formula1>
    </dataValidation>
    <dataValidation sqref="J3:J5000" showDropDown="0" showInputMessage="0" showErrorMessage="0" allowBlank="1" errorTitle="Invalid" error="Pick a value from the list" type="list">
      <formula1>Lists!$S$2:$S$6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Database Validation</t>
        </is>
      </c>
    </row>
    <row r="2">
      <c r="A2" s="18" t="inlineStr">
        <is>
          <t>Table</t>
        </is>
      </c>
      <c r="B2" s="18" t="inlineStr">
        <is>
          <t>Columns</t>
        </is>
      </c>
      <c r="C2" s="18" t="inlineStr">
        <is>
          <t>Constraints</t>
        </is>
      </c>
      <c r="D2" s="18" t="inlineStr">
        <is>
          <t>Relationships</t>
        </is>
      </c>
      <c r="E2" s="18" t="inlineStr">
        <is>
          <t>Insert</t>
        </is>
      </c>
      <c r="F2" s="18" t="inlineStr">
        <is>
          <t>Update</t>
        </is>
      </c>
      <c r="G2" s="18" t="inlineStr">
        <is>
          <t>Delete</t>
        </is>
      </c>
      <c r="H2" s="18" t="inlineStr">
        <is>
          <t>Foreign Keys</t>
        </is>
      </c>
      <c r="I2" s="18" t="inlineStr">
        <is>
          <t>Indexes</t>
        </is>
      </c>
      <c r="J2" s="18" t="inlineStr">
        <is>
          <t>Triggers</t>
        </is>
      </c>
      <c r="K2" s="18" t="inlineStr">
        <is>
          <t>Views</t>
        </is>
      </c>
      <c r="L2" s="18" t="inlineStr">
        <is>
          <t>Validation Status</t>
        </is>
      </c>
      <c r="M2" s="18" t="inlineStr">
        <is>
          <t>Remarks</t>
        </is>
      </c>
    </row>
    <row r="3">
      <c r="A3" s="19" t="inlineStr">
        <is>
          <t>profiles</t>
        </is>
      </c>
      <c r="B3" s="19" t="inlineStr">
        <is>
          <t>id, credits, plan, onboarding_completed, streak_days</t>
        </is>
      </c>
      <c r="C3" s="19" t="inlineStr">
        <is>
          <t>PK=auth.users</t>
        </is>
      </c>
      <c r="D3" s="19" t="inlineStr">
        <is>
          <t>1:1 auth.users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Partial</t>
        </is>
      </c>
      <c r="K3" s="19" t="inlineStr">
        <is>
          <t>N/A</t>
        </is>
      </c>
      <c r="L3" s="19" t="inlineStr">
        <is>
          <t>Pass</t>
        </is>
      </c>
      <c r="M3" s="19" t="inlineStr"/>
    </row>
    <row r="4">
      <c r="A4" s="20" t="inlineStr">
        <is>
          <t>subscriptions</t>
        </is>
      </c>
      <c r="B4" s="20" t="inlineStr">
        <is>
          <t>user_id, plan, status, stripe ids</t>
        </is>
      </c>
      <c r="C4" s="20" t="inlineStr">
        <is>
          <t>status checks</t>
        </is>
      </c>
      <c r="D4" s="20" t="inlineStr">
        <is>
          <t>profiles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N/A</t>
        </is>
      </c>
      <c r="K4" s="20" t="inlineStr">
        <is>
          <t>N/A</t>
        </is>
      </c>
      <c r="L4" s="20" t="inlineStr">
        <is>
          <t>Pass</t>
        </is>
      </c>
      <c r="M4" s="20" t="inlineStr">
        <is>
          <t>MRR source</t>
        </is>
      </c>
    </row>
    <row r="5">
      <c r="A5" s="19" t="inlineStr">
        <is>
          <t>credit_transactions</t>
        </is>
      </c>
      <c r="B5" s="19" t="inlineStr">
        <is>
          <t>user_id, amount, reason</t>
        </is>
      </c>
      <c r="C5" s="19" t="inlineStr">
        <is>
          <t>signed amount</t>
        </is>
      </c>
      <c r="D5" s="19" t="inlineStr">
        <is>
          <t>profiles</t>
        </is>
      </c>
      <c r="E5" s="19" t="inlineStr">
        <is>
          <t>Pass</t>
        </is>
      </c>
      <c r="F5" s="19" t="inlineStr">
        <is>
          <t>N/A</t>
        </is>
      </c>
      <c r="G5" s="19" t="inlineStr">
        <is>
          <t>N/A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Pass</t>
        </is>
      </c>
      <c r="M5" s="19" t="inlineStr">
        <is>
          <t>Not money</t>
        </is>
      </c>
    </row>
    <row r="6">
      <c r="A6" s="20" t="inlineStr">
        <is>
          <t>payment_orders</t>
        </is>
      </c>
      <c r="B6" s="20" t="inlineStr">
        <is>
          <t>amount_paise, status</t>
        </is>
      </c>
      <c r="C6" s="20" t="inlineStr">
        <is>
          <t>incl refunded</t>
        </is>
      </c>
      <c r="D6" s="20" t="inlineStr">
        <is>
          <t>profiles</t>
        </is>
      </c>
      <c r="E6" s="20" t="inlineStr">
        <is>
          <t>Pass</t>
        </is>
      </c>
      <c r="F6" s="20" t="inlineStr">
        <is>
          <t>Pass</t>
        </is>
      </c>
      <c r="G6" s="20" t="inlineStr">
        <is>
          <t>N/A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N/A</t>
        </is>
      </c>
      <c r="K6" s="20" t="inlineStr">
        <is>
          <t>N/A</t>
        </is>
      </c>
      <c r="L6" s="20" t="inlineStr">
        <is>
          <t>Pass</t>
        </is>
      </c>
      <c r="M6" s="20" t="inlineStr">
        <is>
          <t>INR</t>
        </is>
      </c>
    </row>
    <row r="7">
      <c r="A7" s="19" t="inlineStr">
        <is>
          <t>sessions</t>
        </is>
      </c>
      <c r="B7" s="19" t="inlineStr">
        <is>
          <t>nullable scores</t>
        </is>
      </c>
      <c r="C7" s="19" t="inlineStr">
        <is>
          <t>RLS user-owned</t>
        </is>
      </c>
      <c r="D7" s="19" t="inlineStr">
        <is>
          <t>answers/debriefs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Pass</t>
        </is>
      </c>
      <c r="M7" s="19" t="inlineStr">
        <is>
          <t>Null≠0</t>
        </is>
      </c>
    </row>
    <row r="8">
      <c r="A8" s="20" t="inlineStr">
        <is>
          <t>questions / mock_tests</t>
        </is>
      </c>
      <c r="B8" s="20" t="inlineStr">
        <is>
          <t>exam_type, options jsonb</t>
        </is>
      </c>
      <c r="C8" s="20" t="inlineStr">
        <is>
          <t>RLS</t>
        </is>
      </c>
      <c r="D8" s="20" t="inlineStr">
        <is>
          <t>exam bank</t>
        </is>
      </c>
      <c r="E8" s="20" t="inlineStr">
        <is>
          <t>Pass</t>
        </is>
      </c>
      <c r="F8" s="20" t="inlineStr">
        <is>
          <t>Pass</t>
        </is>
      </c>
      <c r="G8" s="20" t="inlineStr">
        <is>
          <t>Pass</t>
        </is>
      </c>
      <c r="H8" s="20" t="inlineStr">
        <is>
          <t>Pass</t>
        </is>
      </c>
      <c r="I8" s="20" t="inlineStr">
        <is>
          <t>Partial</t>
        </is>
      </c>
      <c r="J8" s="20" t="inlineStr">
        <is>
          <t>N/A</t>
        </is>
      </c>
      <c r="K8" s="20" t="inlineStr">
        <is>
          <t>N/A</t>
        </is>
      </c>
      <c r="L8" s="20" t="inlineStr">
        <is>
          <t>Partial</t>
        </is>
      </c>
      <c r="M8" s="20" t="inlineStr">
        <is>
          <t>Thin seed</t>
        </is>
      </c>
    </row>
  </sheetData>
  <autoFilter ref="A2:M8"/>
  <mergeCells count="1">
    <mergeCell ref="A1:H1"/>
  </mergeCells>
  <conditionalFormatting sqref="E3:E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F3:F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G3:G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H3:H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I3:I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J3:J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K3:K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L3:L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dataValidations count="8"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20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  <col width="12" customWidth="1" min="13" max="13"/>
    <col width="18" customWidth="1" min="14" max="14"/>
  </cols>
  <sheetData>
    <row r="1">
      <c r="A1" s="1" t="inlineStr">
        <is>
          <t>Authentication Testing</t>
        </is>
      </c>
    </row>
    <row r="2">
      <c r="A2" s="18" t="inlineStr">
        <is>
          <t>Portal/Role</t>
        </is>
      </c>
      <c r="B2" s="18" t="inlineStr">
        <is>
          <t>Login</t>
        </is>
      </c>
      <c r="C2" s="18" t="inlineStr">
        <is>
          <t>Signup</t>
        </is>
      </c>
      <c r="D2" s="18" t="inlineStr">
        <is>
          <t>Forgot Password</t>
        </is>
      </c>
      <c r="E2" s="18" t="inlineStr">
        <is>
          <t>Reset Password</t>
        </is>
      </c>
      <c r="F2" s="18" t="inlineStr">
        <is>
          <t>OTP</t>
        </is>
      </c>
      <c r="G2" s="18" t="inlineStr">
        <is>
          <t>Email Verification</t>
        </is>
      </c>
      <c r="H2" s="18" t="inlineStr">
        <is>
          <t>MFA</t>
        </is>
      </c>
      <c r="I2" s="18" t="inlineStr">
        <is>
          <t>Role Permissions</t>
        </is>
      </c>
      <c r="J2" s="18" t="inlineStr">
        <is>
          <t>Session</t>
        </is>
      </c>
      <c r="K2" s="18" t="inlineStr">
        <is>
          <t>Logout</t>
        </is>
      </c>
      <c r="L2" s="18" t="inlineStr">
        <is>
          <t>Unauthorized Access</t>
        </is>
      </c>
      <c r="M2" s="18" t="inlineStr">
        <is>
          <t>Status</t>
        </is>
      </c>
      <c r="N2" s="18" t="inlineStr">
        <is>
          <t>Remarks</t>
        </is>
      </c>
    </row>
    <row r="3">
      <c r="A3" s="19" t="inlineStr">
        <is>
          <t>Guest</t>
        </is>
      </c>
      <c r="B3" s="19" t="inlineStr">
        <is>
          <t>N/A</t>
        </is>
      </c>
      <c r="C3" s="19" t="inlineStr">
        <is>
          <t>Pass</t>
        </is>
      </c>
      <c r="D3" s="19" t="inlineStr">
        <is>
          <t>N/A</t>
        </is>
      </c>
      <c r="E3" s="19" t="inlineStr">
        <is>
          <t>N/A</t>
        </is>
      </c>
      <c r="F3" s="19" t="inlineStr">
        <is>
          <t>N/A</t>
        </is>
      </c>
      <c r="G3" s="19" t="inlineStr">
        <is>
          <t>N/A</t>
        </is>
      </c>
      <c r="H3" s="19" t="inlineStr">
        <is>
          <t>N/A</t>
        </is>
      </c>
      <c r="I3" s="19" t="inlineStr">
        <is>
          <t>Pass</t>
        </is>
      </c>
      <c r="J3" s="19" t="inlineStr">
        <is>
          <t>N/A</t>
        </is>
      </c>
      <c r="K3" s="19" t="inlineStr">
        <is>
          <t>N/A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Public marketing</t>
        </is>
      </c>
    </row>
    <row r="4">
      <c r="A4" s="20" t="inlineStr">
        <is>
          <t>Free User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Pass</t>
        </is>
      </c>
      <c r="F4" s="20" t="inlineStr">
        <is>
          <t>N/A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Pass</t>
        </is>
      </c>
      <c r="N4" s="20" t="inlineStr">
        <is>
          <t>Limited live</t>
        </is>
      </c>
    </row>
    <row r="5">
      <c r="A5" s="19" t="inlineStr">
        <is>
          <t>Pro User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N/A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Pass</t>
        </is>
      </c>
      <c r="M5" s="19" t="inlineStr">
        <is>
          <t>Pass</t>
        </is>
      </c>
      <c r="N5" s="19" t="inlineStr">
        <is>
          <t>Overlay+calendar</t>
        </is>
      </c>
    </row>
    <row r="6">
      <c r="A6" s="20" t="inlineStr">
        <is>
          <t>Max User</t>
        </is>
      </c>
      <c r="B6" s="20" t="inlineStr">
        <is>
          <t>Pass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N/A</t>
        </is>
      </c>
      <c r="G6" s="20" t="inlineStr">
        <is>
          <t>Pass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Pass</t>
        </is>
      </c>
      <c r="L6" s="20" t="inlineStr">
        <is>
          <t>Pass</t>
        </is>
      </c>
      <c r="M6" s="20" t="inlineStr">
        <is>
          <t>Pass</t>
        </is>
      </c>
      <c r="N6" s="20" t="inlineStr">
        <is>
          <t>Priority models</t>
        </is>
      </c>
    </row>
    <row r="7">
      <c r="A7" s="19" t="inlineStr">
        <is>
          <t>Admin</t>
        </is>
      </c>
      <c r="B7" s="19" t="inlineStr">
        <is>
          <t>Pass</t>
        </is>
      </c>
      <c r="C7" s="19" t="inlineStr">
        <is>
          <t>N/A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N/A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Pass</t>
        </is>
      </c>
      <c r="N7" s="19" t="inlineStr">
        <is>
          <t>requireAdmin</t>
        </is>
      </c>
    </row>
  </sheetData>
  <autoFilter ref="A2:N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2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Security Testing (OWASP-style)</t>
        </is>
      </c>
    </row>
    <row r="2">
      <c r="A2" s="18" t="inlineStr">
        <is>
          <t>Target</t>
        </is>
      </c>
      <c r="B2" s="18" t="inlineStr">
        <is>
          <t>SQL Injection</t>
        </is>
      </c>
      <c r="C2" s="18" t="inlineStr">
        <is>
          <t>XSS</t>
        </is>
      </c>
      <c r="D2" s="18" t="inlineStr">
        <is>
          <t>CSRF</t>
        </is>
      </c>
      <c r="E2" s="18" t="inlineStr">
        <is>
          <t>Rate Limiting</t>
        </is>
      </c>
      <c r="F2" s="18" t="inlineStr">
        <is>
          <t>Authentication</t>
        </is>
      </c>
      <c r="G2" s="18" t="inlineStr">
        <is>
          <t>Authorization</t>
        </is>
      </c>
      <c r="H2" s="18" t="inlineStr">
        <is>
          <t>File Upload</t>
        </is>
      </c>
      <c r="I2" s="18" t="inlineStr">
        <is>
          <t>Input Validation</t>
        </is>
      </c>
      <c r="J2" s="18" t="inlineStr">
        <is>
          <t>Sensitive Data</t>
        </is>
      </c>
      <c r="K2" s="18" t="inlineStr">
        <is>
          <t>Headers</t>
        </is>
      </c>
      <c r="L2" s="18" t="inlineStr">
        <is>
          <t>Cookies</t>
        </is>
      </c>
      <c r="M2" s="18" t="inlineStr">
        <is>
          <t>JWT</t>
        </is>
      </c>
      <c r="N2" s="18" t="inlineStr">
        <is>
          <t>Encryption</t>
        </is>
      </c>
      <c r="O2" s="18" t="inlineStr">
        <is>
          <t>Status</t>
        </is>
      </c>
      <c r="P2" s="18" t="inlineStr">
        <is>
          <t>Remarks</t>
        </is>
      </c>
    </row>
    <row r="3">
      <c r="A3" s="19" t="inlineStr">
        <is>
          <t>Edge shared utils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N/A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Pass</t>
        </is>
      </c>
      <c r="O3" s="19" t="inlineStr">
        <is>
          <t>Pass</t>
        </is>
      </c>
      <c r="P3" s="19" t="inlineStr">
        <is>
          <t>BYOK removed</t>
        </is>
      </c>
    </row>
    <row r="4">
      <c r="A4" s="20" t="inlineStr">
        <is>
          <t>parse-document</t>
        </is>
      </c>
      <c r="B4" s="20" t="inlineStr">
        <is>
          <t>N/A</t>
        </is>
      </c>
      <c r="C4" s="20" t="inlineStr">
        <is>
          <t>N/A</t>
        </is>
      </c>
      <c r="D4" s="20" t="inlineStr">
        <is>
          <t>N/A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Pass</t>
        </is>
      </c>
      <c r="O4" s="20" t="inlineStr">
        <is>
          <t>Pass</t>
        </is>
      </c>
      <c r="P4" s="20" t="inlineStr">
        <is>
          <t>Key in header</t>
        </is>
      </c>
    </row>
    <row r="5">
      <c r="A5" s="19" t="inlineStr">
        <is>
          <t>stripe-webhook</t>
        </is>
      </c>
      <c r="B5" s="19" t="inlineStr">
        <is>
          <t>N/A</t>
        </is>
      </c>
      <c r="C5" s="19" t="inlineStr">
        <is>
          <t>N/A</t>
        </is>
      </c>
      <c r="D5" s="19" t="inlineStr">
        <is>
          <t>Pass</t>
        </is>
      </c>
      <c r="E5" s="19" t="inlineStr">
        <is>
          <t>N/A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N/A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N/A</t>
        </is>
      </c>
      <c r="M5" s="19" t="inlineStr">
        <is>
          <t>N/A</t>
        </is>
      </c>
      <c r="N5" s="19" t="inlineStr">
        <is>
          <t>Pass</t>
        </is>
      </c>
      <c r="O5" s="19" t="inlineStr">
        <is>
          <t>Pass</t>
        </is>
      </c>
      <c r="P5" s="19" t="inlineStr">
        <is>
          <t>HMAC</t>
        </is>
      </c>
    </row>
    <row r="6">
      <c r="A6" s="20" t="inlineStr">
        <is>
          <t>Admin bulk_update_users</t>
        </is>
      </c>
      <c r="B6" s="20" t="inlineStr">
        <is>
          <t>Pass</t>
        </is>
      </c>
      <c r="C6" s="20" t="inlineStr">
        <is>
          <t>N/A</t>
        </is>
      </c>
      <c r="D6" s="20" t="inlineStr">
        <is>
          <t>Pass</t>
        </is>
      </c>
      <c r="E6" s="20" t="inlineStr">
        <is>
          <t>N/A</t>
        </is>
      </c>
      <c r="F6" s="20" t="inlineStr">
        <is>
          <t>Pass</t>
        </is>
      </c>
      <c r="G6" s="20" t="inlineStr">
        <is>
          <t>Pass</t>
        </is>
      </c>
      <c r="H6" s="20" t="inlineStr">
        <is>
          <t>N/A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N/A</t>
        </is>
      </c>
      <c r="L6" s="20" t="inlineStr">
        <is>
          <t>N/A</t>
        </is>
      </c>
      <c r="M6" s="20" t="inlineStr">
        <is>
          <t>Pass</t>
        </is>
      </c>
      <c r="N6" s="20" t="inlineStr">
        <is>
          <t>Pass</t>
        </is>
      </c>
      <c r="O6" s="20" t="inlineStr">
        <is>
          <t>Pass</t>
        </is>
      </c>
      <c r="P6" s="20" t="inlineStr">
        <is>
          <t>M5</t>
        </is>
      </c>
    </row>
    <row r="7">
      <c r="A7" s="19" t="inlineStr">
        <is>
          <t>Resume storage</t>
        </is>
      </c>
      <c r="B7" s="19" t="inlineStr">
        <is>
          <t>N/A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Pass</t>
        </is>
      </c>
      <c r="N7" s="19" t="inlineStr">
        <is>
          <t>Pass</t>
        </is>
      </c>
      <c r="O7" s="19" t="inlineStr">
        <is>
          <t>Pass</t>
        </is>
      </c>
      <c r="P7" s="19" t="inlineStr">
        <is>
          <t>Bucket RLS</t>
        </is>
      </c>
    </row>
    <row r="8">
      <c r="A8" s="20" t="inlineStr">
        <is>
          <t>.env.production history</t>
        </is>
      </c>
      <c r="B8" s="20" t="inlineStr">
        <is>
          <t>N/A</t>
        </is>
      </c>
      <c r="C8" s="20" t="inlineStr">
        <is>
          <t>N/A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N/A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Fail</t>
        </is>
      </c>
      <c r="K8" s="20" t="inlineStr">
        <is>
          <t>N/A</t>
        </is>
      </c>
      <c r="L8" s="20" t="inlineStr">
        <is>
          <t>N/A</t>
        </is>
      </c>
      <c r="M8" s="20" t="inlineStr">
        <is>
          <t>Partial</t>
        </is>
      </c>
      <c r="N8" s="20" t="inlineStr">
        <is>
          <t>N/A</t>
        </is>
      </c>
      <c r="O8" s="20" t="inlineStr">
        <is>
          <t>Fail</t>
        </is>
      </c>
      <c r="P8" s="20" t="inlineStr">
        <is>
          <t>Rotate anon key</t>
        </is>
      </c>
    </row>
  </sheetData>
  <autoFilter ref="A2:P8"/>
  <mergeCells count="1">
    <mergeCell ref="A1:H1"/>
  </mergeCells>
  <conditionalFormatting sqref="O3:O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Lists!$O$2:$O$6</formula1>
    </dataValidation>
    <dataValidation sqref="C3:C5000" showDropDown="0" showInputMessage="0" showErrorMessage="0" allowBlank="1" errorTitle="Invalid" error="Pick a value from the list" type="list">
      <formula1>Lists!$O$2:$O$6</formula1>
    </dataValidation>
    <dataValidation sqref="D3:D5000" showDropDown="0" showInputMessage="0" showErrorMessage="0" allowBlank="1" errorTitle="Invalid" error="Pick a value from the list" type="list">
      <formula1>Lists!$O$2:$O$6</formula1>
    </dataValidation>
    <dataValidation sqref="E3:E5000" showDropDown="0" showInputMessage="0" showErrorMessage="0" allowBlank="1" errorTitle="Invalid" error="Pick a value from the list" type="list">
      <formula1>Lists!$O$2:$O$6</formula1>
    </dataValidation>
    <dataValidation sqref="F3:F5000" showDropDown="0" showInputMessage="0" showErrorMessage="0" allowBlank="1" errorTitle="Invalid" error="Pick a value from the list" type="list">
      <formula1>Lists!$O$2:$O$6</formula1>
    </dataValidation>
    <dataValidation sqref="G3:G5000" showDropDown="0" showInputMessage="0" showErrorMessage="0" allowBlank="1" errorTitle="Invalid" error="Pick a value from the list" type="list">
      <formula1>Lists!$O$2:$O$6</formula1>
    </dataValidation>
    <dataValidation sqref="H3:H5000" showDropDown="0" showInputMessage="0" showErrorMessage="0" allowBlank="1" errorTitle="Invalid" error="Pick a value from the list" type="list">
      <formula1>Lists!$O$2:$O$6</formula1>
    </dataValidation>
    <dataValidation sqref="I3:I5000" showDropDown="0" showInputMessage="0" showErrorMessage="0" allowBlank="1" errorTitle="Invalid" error="Pick a value from the list" type="list">
      <formula1>Lists!$O$2:$O$6</formula1>
    </dataValidation>
    <dataValidation sqref="J3:J5000" showDropDown="0" showInputMessage="0" showErrorMessage="0" allowBlank="1" errorTitle="Invalid" error="Pick a value from the list" type="list">
      <formula1>Lists!$O$2:$O$6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Lists!$O$2:$O$6</formula1>
    </dataValidation>
    <dataValidation sqref="M3:M5000" showDropDown="0" showInputMessage="0" showErrorMessage="0" allowBlank="1" errorTitle="Invalid" error="Pick a value from the list" type="list">
      <formula1>Lists!$O$2:$O$6</formula1>
    </dataValidation>
    <dataValidation sqref="N3:N5000" showDropDown="0" showInputMessage="0" showErrorMessage="0" allowBlank="1" errorTitle="Invalid" error="Pick a value from the list" type="list">
      <formula1>Lists!$O$2:$O$6</formula1>
    </dataValidation>
    <dataValidation sqref="O3:O5000" showDropDown="0" showInputMessage="0" showErrorMessage="0" allowBlank="1" errorTitle="Invalid" error="Pick a value from the list" type="list">
      <formula1>Lists!$O$2:$O$6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Performance Testing</t>
        </is>
      </c>
    </row>
    <row r="2">
      <c r="A2" s="18" t="inlineStr">
        <is>
          <t>Screen</t>
        </is>
      </c>
      <c r="B2" s="18" t="inlineStr">
        <is>
          <t>API</t>
        </is>
      </c>
      <c r="C2" s="18" t="inlineStr">
        <is>
          <t>Load Time</t>
        </is>
      </c>
      <c r="D2" s="18" t="inlineStr">
        <is>
          <t>TTFB</t>
        </is>
      </c>
      <c r="E2" s="18" t="inlineStr">
        <is>
          <t>Database Query</t>
        </is>
      </c>
      <c r="F2" s="18" t="inlineStr">
        <is>
          <t>Memory</t>
        </is>
      </c>
      <c r="G2" s="18" t="inlineStr">
        <is>
          <t>CPU</t>
        </is>
      </c>
      <c r="H2" s="18" t="inlineStr">
        <is>
          <t>Network</t>
        </is>
      </c>
      <c r="I2" s="18" t="inlineStr">
        <is>
          <t>Optimization Needed</t>
        </is>
      </c>
      <c r="J2" s="18" t="inlineStr">
        <is>
          <t>Status</t>
        </is>
      </c>
    </row>
    <row r="3">
      <c r="A3" s="19" t="inlineStr">
        <is>
          <t>/app/dashboard</t>
        </is>
      </c>
      <c r="B3" s="19" t="inlineStr">
        <is>
          <t>profile+sessions</t>
        </is>
      </c>
      <c r="C3" s="19" t="inlineStr">
        <is>
          <t>1200ms</t>
        </is>
      </c>
      <c r="D3" s="19" t="inlineStr">
        <is>
          <t>180ms</t>
        </is>
      </c>
      <c r="E3" s="19" t="inlineStr">
        <is>
          <t>90ms</t>
        </is>
      </c>
      <c r="F3" s="19" t="inlineStr">
        <is>
          <t>85MB</t>
        </is>
      </c>
      <c r="G3" s="19" t="inlineStr">
        <is>
          <t>12%</t>
        </is>
      </c>
      <c r="H3" s="19" t="inlineStr">
        <is>
          <t>220KB</t>
        </is>
      </c>
      <c r="I3" s="19" t="inlineStr">
        <is>
          <t>No</t>
        </is>
      </c>
      <c r="J3" s="19" t="inlineStr">
        <is>
          <t>Pass</t>
        </is>
      </c>
    </row>
    <row r="4">
      <c r="A4" s="20" t="inlineStr">
        <is>
          <t>/app/live</t>
        </is>
      </c>
      <c r="B4" s="20" t="inlineStr">
        <is>
          <t>generate-answer</t>
        </is>
      </c>
      <c r="C4" s="20" t="inlineStr">
        <is>
          <t>900ms</t>
        </is>
      </c>
      <c r="D4" s="20" t="inlineStr">
        <is>
          <t>200ms</t>
        </is>
      </c>
      <c r="E4" s="20" t="inlineStr">
        <is>
          <t>40ms</t>
        </is>
      </c>
      <c r="F4" s="20" t="inlineStr">
        <is>
          <t>140MB</t>
        </is>
      </c>
      <c r="G4" s="20" t="inlineStr">
        <is>
          <t>28%</t>
        </is>
      </c>
      <c r="H4" s="20" t="inlineStr">
        <is>
          <t>80KB</t>
        </is>
      </c>
      <c r="I4" s="20" t="inlineStr">
        <is>
          <t>Partial</t>
        </is>
      </c>
      <c r="J4" s="20" t="inlineStr">
        <is>
          <t>Pass</t>
        </is>
      </c>
    </row>
    <row r="5">
      <c r="A5" s="19" t="inlineStr">
        <is>
          <t>/app/admin/users</t>
        </is>
      </c>
      <c r="B5" s="19" t="inlineStr">
        <is>
          <t>paginated users</t>
        </is>
      </c>
      <c r="C5" s="19" t="inlineStr">
        <is>
          <t>2100ms</t>
        </is>
      </c>
      <c r="D5" s="19" t="inlineStr">
        <is>
          <t>320ms</t>
        </is>
      </c>
      <c r="E5" s="19" t="inlineStr">
        <is>
          <t>400ms</t>
        </is>
      </c>
      <c r="F5" s="19" t="inlineStr">
        <is>
          <t>110MB</t>
        </is>
      </c>
      <c r="G5" s="19" t="inlineStr">
        <is>
          <t>18%</t>
        </is>
      </c>
      <c r="H5" s="19" t="inlineStr">
        <is>
          <t>450KB</t>
        </is>
      </c>
      <c r="I5" s="19" t="inlineStr">
        <is>
          <t>Yes</t>
        </is>
      </c>
      <c r="J5" s="19" t="inlineStr">
        <is>
          <t>Partial</t>
        </is>
      </c>
    </row>
    <row r="6">
      <c r="A6" s="20" t="inlineStr">
        <is>
          <t>/pricing</t>
        </is>
      </c>
      <c r="B6" s="20" t="inlineStr">
        <is>
          <t>billing_settings</t>
        </is>
      </c>
      <c r="C6" s="20" t="inlineStr">
        <is>
          <t>800ms</t>
        </is>
      </c>
      <c r="D6" s="20" t="inlineStr">
        <is>
          <t>150ms</t>
        </is>
      </c>
      <c r="E6" s="20" t="inlineStr">
        <is>
          <t>50ms</t>
        </is>
      </c>
      <c r="F6" s="20" t="inlineStr">
        <is>
          <t>70MB</t>
        </is>
      </c>
      <c r="G6" s="20" t="inlineStr">
        <is>
          <t>8%</t>
        </is>
      </c>
      <c r="H6" s="20" t="inlineStr">
        <is>
          <t>160KB</t>
        </is>
      </c>
      <c r="I6" s="20" t="inlineStr">
        <is>
          <t>No</t>
        </is>
      </c>
      <c r="J6" s="20" t="inlineStr">
        <is>
          <t>Pass</t>
        </is>
      </c>
    </row>
    <row r="7">
      <c r="A7" s="19" t="inlineStr">
        <is>
          <t>/app/mock-test/session</t>
        </is>
      </c>
      <c r="B7" s="19" t="inlineStr">
        <is>
          <t>select-test-questions</t>
        </is>
      </c>
      <c r="C7" s="19" t="inlineStr">
        <is>
          <t>1500ms</t>
        </is>
      </c>
      <c r="D7" s="19" t="inlineStr">
        <is>
          <t>250ms</t>
        </is>
      </c>
      <c r="E7" s="19" t="inlineStr">
        <is>
          <t>180ms</t>
        </is>
      </c>
      <c r="F7" s="19" t="inlineStr">
        <is>
          <t>95MB</t>
        </is>
      </c>
      <c r="G7" s="19" t="inlineStr">
        <is>
          <t>15%</t>
        </is>
      </c>
      <c r="H7" s="19" t="inlineStr">
        <is>
          <t>300KB</t>
        </is>
      </c>
      <c r="I7" s="19" t="inlineStr">
        <is>
          <t>Partial</t>
        </is>
      </c>
      <c r="J7" s="19" t="inlineStr">
        <is>
          <t>Pass</t>
        </is>
      </c>
    </row>
  </sheetData>
  <autoFilter ref="A2:J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2"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7" customWidth="1" min="10" max="10"/>
    <col width="14" customWidth="1" min="11" max="11"/>
    <col width="15" customWidth="1" min="12" max="12"/>
    <col width="12" customWidth="1" min="13" max="13"/>
    <col width="13" customWidth="1" min="14" max="14"/>
    <col width="19" customWidth="1" min="15" max="15"/>
  </cols>
  <sheetData>
    <row r="1">
      <c r="A1" s="1" t="inlineStr">
        <is>
          <t>Domain: Live Coaching &amp; Electron Overlay (replaces Marketplace)</t>
        </is>
      </c>
    </row>
    <row r="2">
      <c r="A2" s="18" t="inlineStr">
        <is>
          <t>Case ID</t>
        </is>
      </c>
      <c r="B2" s="18" t="inlineStr">
        <is>
          <t>STT Stream</t>
        </is>
      </c>
      <c r="C2" s="18" t="inlineStr">
        <is>
          <t>Diarization</t>
        </is>
      </c>
      <c r="D2" s="18" t="inlineStr">
        <is>
          <t>AI Hint</t>
        </is>
      </c>
      <c r="E2" s="18" t="inlineStr">
        <is>
          <t>AI Answer</t>
        </is>
      </c>
      <c r="F2" s="18" t="inlineStr">
        <is>
          <t>Credit Deduct</t>
        </is>
      </c>
      <c r="G2" s="18" t="inlineStr">
        <is>
          <t>Overlay Window</t>
        </is>
      </c>
      <c r="H2" s="18" t="inlineStr">
        <is>
          <t>Hotkeys</t>
        </is>
      </c>
      <c r="I2" s="18" t="inlineStr">
        <is>
          <t>Pro Gate</t>
        </is>
      </c>
      <c r="J2" s="18" t="inlineStr">
        <is>
          <t>Session Persist</t>
        </is>
      </c>
      <c r="K2" s="18" t="inlineStr">
        <is>
          <t>Debrief Link</t>
        </is>
      </c>
      <c r="L2" s="18" t="inlineStr">
        <is>
          <t>Electron Boot</t>
        </is>
      </c>
      <c r="M2" s="18" t="inlineStr">
        <is>
          <t>Pass</t>
        </is>
      </c>
      <c r="N2" s="18" t="inlineStr">
        <is>
          <t>Status</t>
        </is>
      </c>
      <c r="O2" s="18" t="inlineStr">
        <is>
          <t>Comments</t>
        </is>
      </c>
    </row>
    <row r="3">
      <c r="A3" s="19" t="inlineStr">
        <is>
          <t>LC-01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Completed</t>
        </is>
      </c>
      <c r="O3" s="19" t="inlineStr">
        <is>
          <t>Pro happy path</t>
        </is>
      </c>
    </row>
    <row r="4">
      <c r="A4" s="20" t="inlineStr">
        <is>
          <t>LC-02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N/A</t>
        </is>
      </c>
      <c r="F4" s="20" t="inlineStr">
        <is>
          <t>Pass</t>
        </is>
      </c>
      <c r="G4" s="20" t="inlineStr">
        <is>
          <t>N/A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Completed</t>
        </is>
      </c>
      <c r="O4" s="20" t="inlineStr">
        <is>
          <t>Web live</t>
        </is>
      </c>
    </row>
    <row r="5">
      <c r="A5" s="19" t="inlineStr">
        <is>
          <t>LC-03</t>
        </is>
      </c>
      <c r="B5" s="19" t="inlineStr">
        <is>
          <t>Pass</t>
        </is>
      </c>
      <c r="C5" s="19" t="inlineStr">
        <is>
          <t>Partial</t>
        </is>
      </c>
      <c r="D5" s="19" t="inlineStr">
        <is>
          <t>Fail</t>
        </is>
      </c>
      <c r="E5" s="19" t="inlineStr">
        <is>
          <t>Fail</t>
        </is>
      </c>
      <c r="F5" s="19" t="inlineStr">
        <is>
          <t>N/A</t>
        </is>
      </c>
      <c r="G5" s="19" t="inlineStr">
        <is>
          <t>N/A</t>
        </is>
      </c>
      <c r="H5" s="19" t="inlineStr">
        <is>
          <t>N/A</t>
        </is>
      </c>
      <c r="I5" s="19" t="inlineStr">
        <is>
          <t>Pass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Fail</t>
        </is>
      </c>
      <c r="N5" s="19" t="inlineStr">
        <is>
          <t>In Progress</t>
        </is>
      </c>
      <c r="O5" s="19" t="inlineStr">
        <is>
          <t>402 path TC-011</t>
        </is>
      </c>
    </row>
    <row r="6">
      <c r="A6" s="20" t="inlineStr">
        <is>
          <t>LC-04</t>
        </is>
      </c>
      <c r="B6" s="20" t="inlineStr">
        <is>
          <t>N/A</t>
        </is>
      </c>
      <c r="C6" s="20" t="inlineStr">
        <is>
          <t>N/A</t>
        </is>
      </c>
      <c r="D6" s="20" t="inlineStr">
        <is>
          <t>N/A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Not Run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N/A</t>
        </is>
      </c>
      <c r="K6" s="20" t="inlineStr">
        <is>
          <t>N/A</t>
        </is>
      </c>
      <c r="L6" s="20" t="inlineStr">
        <is>
          <t>Not Run</t>
        </is>
      </c>
      <c r="M6" s="20" t="inlineStr">
        <is>
          <t>Not Run</t>
        </is>
      </c>
      <c r="N6" s="20" t="inlineStr">
        <is>
          <t>Ready</t>
        </is>
      </c>
      <c r="O6" s="20" t="inlineStr">
        <is>
          <t>Packaged unsigned</t>
        </is>
      </c>
    </row>
    <row r="7">
      <c r="A7" s="19" t="inlineStr">
        <is>
          <t>LC-05</t>
        </is>
      </c>
      <c r="B7" s="19" t="inlineStr">
        <is>
          <t>Pass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Partial</t>
        </is>
      </c>
      <c r="M7" s="19" t="inlineStr">
        <is>
          <t>Pass</t>
        </is>
      </c>
      <c r="N7" s="19" t="inlineStr">
        <is>
          <t>Completed</t>
        </is>
      </c>
      <c r="O7" s="19" t="inlineStr">
        <is>
          <t>Hotkey no dup</t>
        </is>
      </c>
    </row>
  </sheetData>
  <autoFilter ref="A2:O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3" customWidth="1" min="15" max="15"/>
    <col width="19" customWidth="1" min="16" max="16"/>
  </cols>
  <sheetData>
    <row r="1">
      <c r="A1" s="1" t="inlineStr">
        <is>
          <t>Domain: Gov Exam Mock Test Engine (replaces Checkout)</t>
        </is>
      </c>
    </row>
    <row r="2">
      <c r="A2" s="18" t="inlineStr">
        <is>
          <t>Case ID</t>
        </is>
      </c>
      <c r="B2" s="18" t="inlineStr">
        <is>
          <t>Exam Select</t>
        </is>
      </c>
      <c r="C2" s="18" t="inlineStr">
        <is>
          <t>Create Test</t>
        </is>
      </c>
      <c r="D2" s="18" t="inlineStr">
        <is>
          <t>Question Load</t>
        </is>
      </c>
      <c r="E2" s="18" t="inlineStr">
        <is>
          <t>Timer</t>
        </is>
      </c>
      <c r="F2" s="18" t="inlineStr">
        <is>
          <t>Answer Save</t>
        </is>
      </c>
      <c r="G2" s="18" t="inlineStr">
        <is>
          <t>Submit Atomic</t>
        </is>
      </c>
      <c r="H2" s="18" t="inlineStr">
        <is>
          <t>Score Persist</t>
        </is>
      </c>
      <c r="I2" s="18" t="inlineStr">
        <is>
          <t>Results UI</t>
        </is>
      </c>
      <c r="J2" s="18" t="inlineStr">
        <is>
          <t>Analytics</t>
        </is>
      </c>
      <c r="K2" s="18" t="inlineStr">
        <is>
          <t>Admin Filter</t>
        </is>
      </c>
      <c r="L2" s="18" t="inlineStr">
        <is>
          <t>PDF Import</t>
        </is>
      </c>
      <c r="M2" s="18" t="inlineStr">
        <is>
          <t>Bank Coverage</t>
        </is>
      </c>
      <c r="N2" s="18" t="inlineStr">
        <is>
          <t>Pass</t>
        </is>
      </c>
      <c r="O2" s="18" t="inlineStr">
        <is>
          <t>Status</t>
        </is>
      </c>
      <c r="P2" s="18" t="inlineStr">
        <is>
          <t>Comments</t>
        </is>
      </c>
    </row>
    <row r="3">
      <c r="A3" s="19" t="inlineStr">
        <is>
          <t>GE-01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N/A</t>
        </is>
      </c>
      <c r="L3" s="19" t="inlineStr">
        <is>
          <t>N/A</t>
        </is>
      </c>
      <c r="M3" s="19" t="inlineStr">
        <is>
          <t>Partial</t>
        </is>
      </c>
      <c r="N3" s="19" t="inlineStr">
        <is>
          <t>Pass</t>
        </is>
      </c>
      <c r="O3" s="19" t="inlineStr">
        <is>
          <t>Completed</t>
        </is>
      </c>
      <c r="P3" s="19" t="inlineStr">
        <is>
          <t>Happy path</t>
        </is>
      </c>
    </row>
    <row r="4">
      <c r="A4" s="20" t="inlineStr">
        <is>
          <t>GE-02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Partial</t>
        </is>
      </c>
      <c r="K4" s="20" t="inlineStr">
        <is>
          <t>N/A</t>
        </is>
      </c>
      <c r="L4" s="20" t="inlineStr">
        <is>
          <t>N/A</t>
        </is>
      </c>
      <c r="M4" s="20" t="inlineStr">
        <is>
          <t>Partial</t>
        </is>
      </c>
      <c r="N4" s="20" t="inlineStr">
        <is>
          <t>Pass</t>
        </is>
      </c>
      <c r="O4" s="20" t="inlineStr">
        <is>
          <t>Completed</t>
        </is>
      </c>
      <c r="P4" s="20" t="inlineStr">
        <is>
          <t>Idempotent submit</t>
        </is>
      </c>
    </row>
    <row r="5">
      <c r="A5" s="19" t="inlineStr">
        <is>
          <t>GE-03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Partial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Fail</t>
        </is>
      </c>
      <c r="N5" s="19" t="inlineStr">
        <is>
          <t>Partial</t>
        </is>
      </c>
      <c r="O5" s="19" t="inlineStr">
        <is>
          <t>In Progress</t>
        </is>
      </c>
      <c r="P5" s="19" t="inlineStr">
        <is>
          <t>Thin bank</t>
        </is>
      </c>
    </row>
    <row r="6">
      <c r="A6" s="20" t="inlineStr">
        <is>
          <t>GE-04</t>
        </is>
      </c>
      <c r="B6" s="20" t="inlineStr">
        <is>
          <t>N/A</t>
        </is>
      </c>
      <c r="C6" s="20" t="inlineStr">
        <is>
          <t>N/A</t>
        </is>
      </c>
      <c r="D6" s="20" t="inlineStr">
        <is>
          <t>N/A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N/A</t>
        </is>
      </c>
      <c r="H6" s="20" t="inlineStr">
        <is>
          <t>N/A</t>
        </is>
      </c>
      <c r="I6" s="20" t="inlineStr">
        <is>
          <t>N/A</t>
        </is>
      </c>
      <c r="J6" s="20" t="inlineStr">
        <is>
          <t>N/A</t>
        </is>
      </c>
      <c r="K6" s="20" t="inlineStr">
        <is>
          <t>Pass</t>
        </is>
      </c>
      <c r="L6" s="20" t="inlineStr">
        <is>
          <t>N/A</t>
        </is>
      </c>
      <c r="M6" s="20" t="inlineStr">
        <is>
          <t>N/A</t>
        </is>
      </c>
      <c r="N6" s="20" t="inlineStr">
        <is>
          <t>Pass</t>
        </is>
      </c>
      <c r="O6" s="20" t="inlineStr">
        <is>
          <t>Completed</t>
        </is>
      </c>
      <c r="P6" s="20" t="inlineStr">
        <is>
          <t>P1-5 filter</t>
        </is>
      </c>
    </row>
    <row r="7">
      <c r="A7" s="19" t="inlineStr">
        <is>
          <t>GE-05</t>
        </is>
      </c>
      <c r="B7" s="19" t="inlineStr">
        <is>
          <t>N/A</t>
        </is>
      </c>
      <c r="C7" s="19" t="inlineStr">
        <is>
          <t>N/A</t>
        </is>
      </c>
      <c r="D7" s="19" t="inlineStr">
        <is>
          <t>N/A</t>
        </is>
      </c>
      <c r="E7" s="19" t="inlineStr">
        <is>
          <t>N/A</t>
        </is>
      </c>
      <c r="F7" s="19" t="inlineStr">
        <is>
          <t>N/A</t>
        </is>
      </c>
      <c r="G7" s="19" t="inlineStr">
        <is>
          <t>N/A</t>
        </is>
      </c>
      <c r="H7" s="19" t="inlineStr">
        <is>
          <t>N/A</t>
        </is>
      </c>
      <c r="I7" s="19" t="inlineStr">
        <is>
          <t>N/A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Blocked</t>
        </is>
      </c>
      <c r="M7" s="19" t="inlineStr">
        <is>
          <t>N/A</t>
        </is>
      </c>
      <c r="N7" s="19" t="inlineStr">
        <is>
          <t>Blocked</t>
        </is>
      </c>
      <c r="O7" s="19" t="inlineStr">
        <is>
          <t>Blocked</t>
        </is>
      </c>
      <c r="P7" s="19" t="inlineStr">
        <is>
          <t>Provider quota</t>
        </is>
      </c>
    </row>
  </sheetData>
  <autoFilter ref="A2:P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N3:N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4" customWidth="1" min="11" max="11"/>
    <col width="17" customWidth="1" min="12" max="12"/>
    <col width="12" customWidth="1" min="13" max="13"/>
    <col width="21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Domain: Billing, Credits &amp; Subscriptions (replaces Payment)</t>
        </is>
      </c>
    </row>
    <row r="2">
      <c r="A2" s="18" t="inlineStr">
        <is>
          <t>Case ID</t>
        </is>
      </c>
      <c r="B2" s="18" t="inlineStr">
        <is>
          <t>Gateway</t>
        </is>
      </c>
      <c r="C2" s="18" t="inlineStr">
        <is>
          <t>Success</t>
        </is>
      </c>
      <c r="D2" s="18" t="inlineStr">
        <is>
          <t>Failure</t>
        </is>
      </c>
      <c r="E2" s="18" t="inlineStr">
        <is>
          <t>Cancel</t>
        </is>
      </c>
      <c r="F2" s="18" t="inlineStr">
        <is>
          <t>Timeout</t>
        </is>
      </c>
      <c r="G2" s="18" t="inlineStr">
        <is>
          <t>Webhook</t>
        </is>
      </c>
      <c r="H2" s="18" t="inlineStr">
        <is>
          <t>Refund</t>
        </is>
      </c>
      <c r="I2" s="18" t="inlineStr">
        <is>
          <t>Partial Refund</t>
        </is>
      </c>
      <c r="J2" s="18" t="inlineStr">
        <is>
          <t>Duplicate Payment</t>
        </is>
      </c>
      <c r="K2" s="18" t="inlineStr">
        <is>
          <t>Credit Grant</t>
        </is>
      </c>
      <c r="L2" s="18" t="inlineStr">
        <is>
          <t>Credit Clawback</t>
        </is>
      </c>
      <c r="M2" s="18" t="inlineStr">
        <is>
          <t>Plan Gate</t>
        </is>
      </c>
      <c r="N2" s="18" t="inlineStr">
        <is>
          <t>Transaction History</t>
        </is>
      </c>
      <c r="O2" s="18" t="inlineStr">
        <is>
          <t>Settlement</t>
        </is>
      </c>
      <c r="P2" s="18" t="inlineStr">
        <is>
          <t>Pass</t>
        </is>
      </c>
      <c r="Q2" s="18" t="inlineStr">
        <is>
          <t>Status</t>
        </is>
      </c>
      <c r="R2" s="18" t="inlineStr">
        <is>
          <t>Comments</t>
        </is>
      </c>
    </row>
    <row r="3">
      <c r="A3" s="19" t="inlineStr">
        <is>
          <t>BL-01</t>
        </is>
      </c>
      <c r="B3" s="19" t="inlineStr">
        <is>
          <t>Stripe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Not Run</t>
        </is>
      </c>
      <c r="G3" s="19" t="inlineStr">
        <is>
          <t>Pass</t>
        </is>
      </c>
      <c r="H3" s="19" t="inlineStr">
        <is>
          <t>Not Run</t>
        </is>
      </c>
      <c r="I3" s="19" t="inlineStr">
        <is>
          <t>Not Run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N/A</t>
        </is>
      </c>
      <c r="M3" s="19" t="inlineStr">
        <is>
          <t>Pass</t>
        </is>
      </c>
      <c r="N3" s="19" t="inlineStr">
        <is>
          <t>Pass</t>
        </is>
      </c>
      <c r="O3" s="19" t="inlineStr">
        <is>
          <t>N/A</t>
        </is>
      </c>
      <c r="P3" s="19" t="inlineStr">
        <is>
          <t>Pass</t>
        </is>
      </c>
      <c r="Q3" s="19" t="inlineStr">
        <is>
          <t>Completed</t>
        </is>
      </c>
      <c r="R3" s="19" t="inlineStr">
        <is>
          <t>Pro monthly</t>
        </is>
      </c>
    </row>
    <row r="4">
      <c r="A4" s="20" t="inlineStr">
        <is>
          <t>BL-02</t>
        </is>
      </c>
      <c r="B4" s="20" t="inlineStr">
        <is>
          <t>Stripe</t>
        </is>
      </c>
      <c r="C4" s="20" t="inlineStr">
        <is>
          <t>Pass</t>
        </is>
      </c>
      <c r="D4" s="20" t="inlineStr">
        <is>
          <t>N/A</t>
        </is>
      </c>
      <c r="E4" s="20" t="inlineStr">
        <is>
          <t>N/A</t>
        </is>
      </c>
      <c r="F4" s="20" t="inlineStr">
        <is>
          <t>N/A</t>
        </is>
      </c>
      <c r="G4" s="20" t="inlineStr">
        <is>
          <t>Pass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N/A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Pass</t>
        </is>
      </c>
      <c r="O4" s="20" t="inlineStr">
        <is>
          <t>N/A</t>
        </is>
      </c>
      <c r="P4" s="20" t="inlineStr">
        <is>
          <t>Pass</t>
        </is>
      </c>
      <c r="Q4" s="20" t="inlineStr">
        <is>
          <t>Completed</t>
        </is>
      </c>
      <c r="R4" s="20" t="inlineStr">
        <is>
          <t>Max price IDs</t>
        </is>
      </c>
    </row>
    <row r="5">
      <c r="A5" s="19" t="inlineStr">
        <is>
          <t>BL-03</t>
        </is>
      </c>
      <c r="B5" s="19" t="inlineStr">
        <is>
          <t>Stripe</t>
        </is>
      </c>
      <c r="C5" s="19" t="inlineStr">
        <is>
          <t>N/A</t>
        </is>
      </c>
      <c r="D5" s="19" t="inlineStr">
        <is>
          <t>Pass</t>
        </is>
      </c>
      <c r="E5" s="19" t="inlineStr">
        <is>
          <t>N/A</t>
        </is>
      </c>
      <c r="F5" s="19" t="inlineStr">
        <is>
          <t>N/A</t>
        </is>
      </c>
      <c r="G5" s="19" t="inlineStr">
        <is>
          <t>Pass</t>
        </is>
      </c>
      <c r="H5" s="19" t="inlineStr">
        <is>
          <t>N/A</t>
        </is>
      </c>
      <c r="I5" s="19" t="inlineStr">
        <is>
          <t>N/A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N/A</t>
        </is>
      </c>
      <c r="N5" s="19" t="inlineStr">
        <is>
          <t>Pass</t>
        </is>
      </c>
      <c r="O5" s="19" t="inlineStr">
        <is>
          <t>N/A</t>
        </is>
      </c>
      <c r="P5" s="19" t="inlineStr">
        <is>
          <t>Pass</t>
        </is>
      </c>
      <c r="Q5" s="19" t="inlineStr">
        <is>
          <t>Completed</t>
        </is>
      </c>
      <c r="R5" s="19" t="inlineStr">
        <is>
          <t>payment_failed wallet</t>
        </is>
      </c>
    </row>
    <row r="6">
      <c r="A6" s="20" t="inlineStr">
        <is>
          <t>BL-04</t>
        </is>
      </c>
      <c r="B6" s="20" t="inlineStr">
        <is>
          <t>Razorpay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Not Run</t>
        </is>
      </c>
      <c r="G6" s="20" t="inlineStr">
        <is>
          <t>Pass</t>
        </is>
      </c>
      <c r="H6" s="20" t="inlineStr">
        <is>
          <t>Not Run</t>
        </is>
      </c>
      <c r="I6" s="20" t="inlineStr">
        <is>
          <t>N/A</t>
        </is>
      </c>
      <c r="J6" s="20" t="inlineStr">
        <is>
          <t>Pass</t>
        </is>
      </c>
      <c r="K6" s="20" t="inlineStr">
        <is>
          <t>Pass</t>
        </is>
      </c>
      <c r="L6" s="20" t="inlineStr">
        <is>
          <t>N/A</t>
        </is>
      </c>
      <c r="M6" s="20" t="inlineStr">
        <is>
          <t>Partial</t>
        </is>
      </c>
      <c r="N6" s="20" t="inlineStr">
        <is>
          <t>Pass</t>
        </is>
      </c>
      <c r="O6" s="20" t="inlineStr">
        <is>
          <t>N/A</t>
        </is>
      </c>
      <c r="P6" s="20" t="inlineStr">
        <is>
          <t>Pass</t>
        </is>
      </c>
      <c r="Q6" s="20" t="inlineStr">
        <is>
          <t>Completed</t>
        </is>
      </c>
      <c r="R6" s="20" t="inlineStr">
        <is>
          <t>One-time only</t>
        </is>
      </c>
    </row>
    <row r="7">
      <c r="A7" s="19" t="inlineStr">
        <is>
          <t>BL-05</t>
        </is>
      </c>
      <c r="B7" s="19" t="inlineStr">
        <is>
          <t>Stripe</t>
        </is>
      </c>
      <c r="C7" s="19" t="inlineStr">
        <is>
          <t>N/A</t>
        </is>
      </c>
      <c r="D7" s="19" t="inlineStr">
        <is>
          <t>N/A</t>
        </is>
      </c>
      <c r="E7" s="19" t="inlineStr">
        <is>
          <t>N/A</t>
        </is>
      </c>
      <c r="F7" s="19" t="inlineStr">
        <is>
          <t>N/A</t>
        </is>
      </c>
      <c r="G7" s="19" t="inlineStr">
        <is>
          <t>Pass</t>
        </is>
      </c>
      <c r="H7" s="19" t="inlineStr">
        <is>
          <t>Not Run</t>
        </is>
      </c>
      <c r="I7" s="19" t="inlineStr">
        <is>
          <t>Not Run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Not Run</t>
        </is>
      </c>
      <c r="M7" s="19" t="inlineStr">
        <is>
          <t>N/A</t>
        </is>
      </c>
      <c r="N7" s="19" t="inlineStr">
        <is>
          <t>Pass</t>
        </is>
      </c>
      <c r="O7" s="19" t="inlineStr">
        <is>
          <t>N/A</t>
        </is>
      </c>
      <c r="P7" s="19" t="inlineStr">
        <is>
          <t>Not Run</t>
        </is>
      </c>
      <c r="Q7" s="19" t="inlineStr">
        <is>
          <t>Ready</t>
        </is>
      </c>
      <c r="R7" s="19" t="inlineStr">
        <is>
          <t>P4-2 refund</t>
        </is>
      </c>
    </row>
    <row r="8">
      <c r="A8" s="20" t="inlineStr">
        <is>
          <t>BL-06</t>
        </is>
      </c>
      <c r="B8" s="20" t="inlineStr">
        <is>
          <t>Both</t>
        </is>
      </c>
      <c r="C8" s="20" t="inlineStr">
        <is>
          <t>Pass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Pass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N/A</t>
        </is>
      </c>
      <c r="K8" s="20" t="inlineStr">
        <is>
          <t>Pass</t>
        </is>
      </c>
      <c r="L8" s="20" t="inlineStr">
        <is>
          <t>N/A</t>
        </is>
      </c>
      <c r="M8" s="20" t="inlineStr">
        <is>
          <t>Pass</t>
        </is>
      </c>
      <c r="N8" s="20" t="inlineStr">
        <is>
          <t>Pass</t>
        </is>
      </c>
      <c r="O8" s="20" t="inlineStr">
        <is>
          <t>N/A</t>
        </is>
      </c>
      <c r="P8" s="20" t="inlineStr">
        <is>
          <t>Pass</t>
        </is>
      </c>
      <c r="Q8" s="20" t="inlineStr">
        <is>
          <t>Completed</t>
        </is>
      </c>
      <c r="R8" s="20" t="inlineStr">
        <is>
          <t>Settings ledger</t>
        </is>
      </c>
    </row>
  </sheetData>
  <autoFilter ref="A2:R8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M3:M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N3:N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O3:O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conditionalFormatting sqref="P3:P500">
    <cfRule type="cellIs" priority="222" operator="equal" dxfId="4">
      <formula>"Pass"</formula>
    </cfRule>
    <cfRule type="cellIs" priority="223" operator="equal" dxfId="4">
      <formula>"PASS"</formula>
    </cfRule>
    <cfRule type="cellIs" priority="224" operator="equal" dxfId="4">
      <formula>"Yes"</formula>
    </cfRule>
    <cfRule type="cellIs" priority="225" operator="equal" dxfId="5">
      <formula>"Fail"</formula>
    </cfRule>
    <cfRule type="cellIs" priority="226" operator="equal" dxfId="5">
      <formula>"FAIL"</formula>
    </cfRule>
    <cfRule type="cellIs" priority="227" operator="equal" dxfId="5">
      <formula>"No"</formula>
    </cfRule>
    <cfRule type="cellIs" priority="228" operator="equal" dxfId="6">
      <formula>"In Progress"</formula>
    </cfRule>
    <cfRule type="cellIs" priority="229" operator="equal" dxfId="6">
      <formula>"Blocked"</formula>
    </cfRule>
    <cfRule type="cellIs" priority="230" operator="equal" dxfId="6">
      <formula>"Partial"</formula>
    </cfRule>
    <cfRule type="cellIs" priority="231" operator="equal" dxfId="7">
      <formula>"Not Started"</formula>
    </cfRule>
    <cfRule type="cellIs" priority="232" operator="equal" dxfId="7">
      <formula>"Not Run"</formula>
    </cfRule>
    <cfRule type="cellIs" priority="233" operator="equal" dxfId="7">
      <formula>"Not Tested"</formula>
    </cfRule>
    <cfRule type="cellIs" priority="234" operator="equal" dxfId="7">
      <formula>"N/A"</formula>
    </cfRule>
    <cfRule type="cellIs" priority="235" operator="equal" dxfId="8">
      <formula>"Completed"</formula>
    </cfRule>
    <cfRule type="cellIs" priority="236" operator="equal" dxfId="8">
      <formula>"Complete"</formula>
    </cfRule>
    <cfRule type="cellIs" priority="237" operator="equal" dxfId="8">
      <formula>"Passed"</formula>
    </cfRule>
    <cfRule type="cellIs" priority="238" operator="equal" dxfId="8">
      <formula>"Ready"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Lists!$B$2:$B$7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Role Based Testing — Clarify plan entitlements</t>
        </is>
      </c>
    </row>
    <row r="2">
      <c r="A2" s="18" t="inlineStr">
        <is>
          <t>Permission/Feature</t>
        </is>
      </c>
      <c r="B2" s="18" t="inlineStr">
        <is>
          <t>Module</t>
        </is>
      </c>
      <c r="C2" s="18" t="inlineStr">
        <is>
          <t>Guest</t>
        </is>
      </c>
      <c r="D2" s="18" t="inlineStr">
        <is>
          <t>Free User</t>
        </is>
      </c>
      <c r="E2" s="18" t="inlineStr">
        <is>
          <t>Pro User</t>
        </is>
      </c>
      <c r="F2" s="18" t="inlineStr">
        <is>
          <t>Max User</t>
        </is>
      </c>
      <c r="G2" s="18" t="inlineStr">
        <is>
          <t>Admin</t>
        </is>
      </c>
      <c r="H2" s="18" t="inlineStr">
        <is>
          <t>Permissions</t>
        </is>
      </c>
      <c r="I2" s="18" t="inlineStr">
        <is>
          <t>Status</t>
        </is>
      </c>
      <c r="J2" s="18" t="inlineStr">
        <is>
          <t>Expected Summary</t>
        </is>
      </c>
    </row>
    <row r="3">
      <c r="A3" s="19" t="inlineStr">
        <is>
          <t>Access /app</t>
        </is>
      </c>
      <c r="B3" s="19" t="inlineStr">
        <is>
          <t>Auth &amp; Onboarding</t>
        </is>
      </c>
      <c r="C3" s="19" t="inlineStr">
        <is>
          <t>No</t>
        </is>
      </c>
      <c r="D3" s="19" t="inlineStr">
        <is>
          <t>Yes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Auth required</t>
        </is>
      </c>
      <c r="I3" s="19" t="inlineStr">
        <is>
          <t>Pass</t>
        </is>
      </c>
      <c r="J3" s="19" t="inlineStr">
        <is>
          <t>Guests → login</t>
        </is>
      </c>
    </row>
    <row r="4">
      <c r="A4" s="20" t="inlineStr">
        <is>
          <t>Live answer limited</t>
        </is>
      </c>
      <c r="B4" s="20" t="inlineStr">
        <is>
          <t>Live Practice Coach</t>
        </is>
      </c>
      <c r="C4" s="20" t="inlineStr">
        <is>
          <t>No</t>
        </is>
      </c>
      <c r="D4" s="20" t="inlineStr">
        <is>
          <t>Yes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Yes</t>
        </is>
      </c>
      <c r="H4" s="20" t="inlineStr">
        <is>
          <t>Free limited</t>
        </is>
      </c>
      <c r="I4" s="20" t="inlineStr">
        <is>
          <t>Pass</t>
        </is>
      </c>
      <c r="J4" s="20" t="inlineStr">
        <is>
          <t>live_rehearsal</t>
        </is>
      </c>
    </row>
    <row r="5">
      <c r="A5" s="19" t="inlineStr">
        <is>
          <t>Desktop overlay</t>
        </is>
      </c>
      <c r="B5" s="19" t="inlineStr">
        <is>
          <t>Live Practice Coach</t>
        </is>
      </c>
      <c r="C5" s="19" t="inlineStr">
        <is>
          <t>No</t>
        </is>
      </c>
      <c r="D5" s="19" t="inlineStr">
        <is>
          <t>No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Pro+</t>
        </is>
      </c>
      <c r="I5" s="19" t="inlineStr">
        <is>
          <t>Pass</t>
        </is>
      </c>
      <c r="J5" s="19" t="inlineStr">
        <is>
          <t>requirePlan pro</t>
        </is>
      </c>
    </row>
    <row r="6">
      <c r="A6" s="20" t="inlineStr">
        <is>
          <t>Company research</t>
        </is>
      </c>
      <c r="B6" s="20" t="inlineStr">
        <is>
          <t>Company Research</t>
        </is>
      </c>
      <c r="C6" s="20" t="inlineStr">
        <is>
          <t>No</t>
        </is>
      </c>
      <c r="D6" s="20" t="inlineStr">
        <is>
          <t>No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Pro+</t>
        </is>
      </c>
      <c r="I6" s="20" t="inlineStr">
        <is>
          <t>Pass</t>
        </is>
      </c>
      <c r="J6" s="20" t="inlineStr"/>
    </row>
    <row r="7">
      <c r="A7" s="19" t="inlineStr">
        <is>
          <t>Calendar sync</t>
        </is>
      </c>
      <c r="B7" s="19" t="inlineStr">
        <is>
          <t>Interviews &amp; Calendar</t>
        </is>
      </c>
      <c r="C7" s="19" t="inlineStr">
        <is>
          <t>No</t>
        </is>
      </c>
      <c r="D7" s="19" t="inlineStr">
        <is>
          <t>No</t>
        </is>
      </c>
      <c r="E7" s="19" t="inlineStr">
        <is>
          <t>Yes</t>
        </is>
      </c>
      <c r="F7" s="19" t="inlineStr">
        <is>
          <t>Yes</t>
        </is>
      </c>
      <c r="G7" s="19" t="inlineStr">
        <is>
          <t>Yes</t>
        </is>
      </c>
      <c r="H7" s="19" t="inlineStr">
        <is>
          <t>Pro+</t>
        </is>
      </c>
      <c r="I7" s="19" t="inlineStr">
        <is>
          <t>Pass</t>
        </is>
      </c>
      <c r="J7" s="19" t="inlineStr"/>
    </row>
    <row r="8">
      <c r="A8" s="20" t="inlineStr">
        <is>
          <t>Priority models</t>
        </is>
      </c>
      <c r="B8" s="20" t="inlineStr">
        <is>
          <t>Billing &amp; Credits</t>
        </is>
      </c>
      <c r="C8" s="20" t="inlineStr">
        <is>
          <t>No</t>
        </is>
      </c>
      <c r="D8" s="20" t="inlineStr">
        <is>
          <t>No</t>
        </is>
      </c>
      <c r="E8" s="20" t="inlineStr">
        <is>
          <t>No</t>
        </is>
      </c>
      <c r="F8" s="20" t="inlineStr">
        <is>
          <t>Yes</t>
        </is>
      </c>
      <c r="G8" s="20" t="inlineStr">
        <is>
          <t>Yes</t>
        </is>
      </c>
      <c r="H8" s="20" t="inlineStr">
        <is>
          <t>Max</t>
        </is>
      </c>
      <c r="I8" s="20" t="inlineStr">
        <is>
          <t>Pass</t>
        </is>
      </c>
      <c r="J8" s="20" t="inlineStr"/>
    </row>
    <row r="9">
      <c r="A9" s="19" t="inlineStr">
        <is>
          <t>Admin revenue</t>
        </is>
      </c>
      <c r="B9" s="19" t="inlineStr">
        <is>
          <t>Admin Portal</t>
        </is>
      </c>
      <c r="C9" s="19" t="inlineStr">
        <is>
          <t>No</t>
        </is>
      </c>
      <c r="D9" s="19" t="inlineStr">
        <is>
          <t>No</t>
        </is>
      </c>
      <c r="E9" s="19" t="inlineStr">
        <is>
          <t>No</t>
        </is>
      </c>
      <c r="F9" s="19" t="inlineStr">
        <is>
          <t>No</t>
        </is>
      </c>
      <c r="G9" s="19" t="inlineStr">
        <is>
          <t>Yes</t>
        </is>
      </c>
      <c r="H9" s="19" t="inlineStr">
        <is>
          <t>admin role</t>
        </is>
      </c>
      <c r="I9" s="19" t="inlineStr">
        <is>
          <t>Pass</t>
        </is>
      </c>
      <c r="J9" s="19" t="inlineStr">
        <is>
          <t>requireAdmin</t>
        </is>
      </c>
    </row>
    <row r="10">
      <c r="A10" s="20" t="inlineStr">
        <is>
          <t>Promo CRUD</t>
        </is>
      </c>
      <c r="B10" s="20" t="inlineStr">
        <is>
          <t>Admin Portal</t>
        </is>
      </c>
      <c r="C10" s="20" t="inlineStr">
        <is>
          <t>No</t>
        </is>
      </c>
      <c r="D10" s="20" t="inlineStr">
        <is>
          <t>No</t>
        </is>
      </c>
      <c r="E10" s="20" t="inlineStr">
        <is>
          <t>No</t>
        </is>
      </c>
      <c r="F10" s="20" t="inlineStr">
        <is>
          <t>No</t>
        </is>
      </c>
      <c r="G10" s="20" t="inlineStr">
        <is>
          <t>Yes</t>
        </is>
      </c>
      <c r="H10" s="20" t="inlineStr">
        <is>
          <t>admin</t>
        </is>
      </c>
      <c r="I10" s="20" t="inlineStr">
        <is>
          <t>Pass</t>
        </is>
      </c>
      <c r="J10" s="20" t="inlineStr"/>
    </row>
    <row r="11">
      <c r="A11" s="19" t="inlineStr">
        <is>
          <t>View pricing</t>
        </is>
      </c>
      <c r="B11" s="19" t="inlineStr">
        <is>
          <t>Marketing Site</t>
        </is>
      </c>
      <c r="C11" s="19" t="inlineStr">
        <is>
          <t>Yes</t>
        </is>
      </c>
      <c r="D11" s="19" t="inlineStr">
        <is>
          <t>Yes</t>
        </is>
      </c>
      <c r="E11" s="19" t="inlineStr">
        <is>
          <t>Yes</t>
        </is>
      </c>
      <c r="F11" s="19" t="inlineStr">
        <is>
          <t>Yes</t>
        </is>
      </c>
      <c r="G11" s="19" t="inlineStr">
        <is>
          <t>Yes</t>
        </is>
      </c>
      <c r="H11" s="19" t="inlineStr">
        <is>
          <t>Public</t>
        </is>
      </c>
      <c r="I11" s="19" t="inlineStr">
        <is>
          <t>Pass</t>
        </is>
      </c>
      <c r="J11" s="19" t="inlineStr"/>
    </row>
  </sheetData>
  <autoFilter ref="A2:J11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7"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B3:B5000" showDropDown="0" showInputMessage="0" showErrorMessage="0" allowBlank="1" errorTitle="Invalid" error="Pick a value from the list" type="list">
      <formula1>Lists!$Z$2:$Z$21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1" t="inlineStr">
        <is>
          <t>Regression Testing</t>
        </is>
      </c>
    </row>
    <row r="2">
      <c r="A2" s="18" t="inlineStr">
        <is>
          <t>Regression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QA Owner</t>
        </is>
      </c>
      <c r="E2" s="18" t="inlineStr">
        <is>
          <t>Executed</t>
        </is>
      </c>
      <c r="F2" s="18" t="inlineStr">
        <is>
          <t>Pass</t>
        </is>
      </c>
      <c r="G2" s="18" t="inlineStr">
        <is>
          <t>Fail</t>
        </is>
      </c>
      <c r="H2" s="18" t="inlineStr">
        <is>
          <t>Blocked</t>
        </is>
      </c>
      <c r="I2" s="18" t="inlineStr">
        <is>
          <t>Est Hours</t>
        </is>
      </c>
      <c r="J2" s="18" t="inlineStr">
        <is>
          <t>Actual Hours</t>
        </is>
      </c>
      <c r="K2" s="18" t="inlineStr">
        <is>
          <t>Remarks</t>
        </is>
      </c>
    </row>
    <row r="3">
      <c r="A3" s="19" t="inlineStr">
        <is>
          <t>REG-01</t>
        </is>
      </c>
      <c r="B3" s="19" t="inlineStr">
        <is>
          <t>Auth &amp; Onboarding</t>
        </is>
      </c>
      <c r="C3" s="19" t="inlineStr">
        <is>
          <t>Login/OAuth/MFA</t>
        </is>
      </c>
      <c r="D3" s="19" t="inlineStr">
        <is>
          <t>Asha Sharma</t>
        </is>
      </c>
      <c r="E3" s="19" t="inlineStr">
        <is>
          <t>Yes</t>
        </is>
      </c>
      <c r="F3" s="19" t="n">
        <v>4</v>
      </c>
      <c r="G3" s="19" t="n">
        <v>0</v>
      </c>
      <c r="H3" s="19" t="n">
        <v>0</v>
      </c>
      <c r="I3" s="19" t="n">
        <v>4</v>
      </c>
      <c r="J3" s="19" t="n">
        <v>3.5</v>
      </c>
      <c r="K3" s="19" t="inlineStr">
        <is>
          <t>Smoke green</t>
        </is>
      </c>
    </row>
    <row r="4">
      <c r="A4" s="20" t="inlineStr">
        <is>
          <t>REG-02</t>
        </is>
      </c>
      <c r="B4" s="20" t="inlineStr">
        <is>
          <t>Live Practice Coach</t>
        </is>
      </c>
      <c r="C4" s="20" t="inlineStr">
        <is>
          <t>STT + answer + overlay</t>
        </is>
      </c>
      <c r="D4" s="20" t="inlineStr">
        <is>
          <t>Priya Nair</t>
        </is>
      </c>
      <c r="E4" s="20" t="inlineStr">
        <is>
          <t>Yes</t>
        </is>
      </c>
      <c r="F4" s="20" t="n">
        <v>4</v>
      </c>
      <c r="G4" s="20" t="n">
        <v>0</v>
      </c>
      <c r="H4" s="20" t="n">
        <v>0</v>
      </c>
      <c r="I4" s="20" t="n">
        <v>6</v>
      </c>
      <c r="J4" s="20" t="n">
        <v>5</v>
      </c>
      <c r="K4" s="20" t="inlineStr">
        <is>
          <t>BUG-001 closed</t>
        </is>
      </c>
    </row>
    <row r="5">
      <c r="A5" s="19" t="inlineStr">
        <is>
          <t>REG-03</t>
        </is>
      </c>
      <c r="B5" s="19" t="inlineStr">
        <is>
          <t>Billing &amp; Credits</t>
        </is>
      </c>
      <c r="C5" s="19" t="inlineStr">
        <is>
          <t>Checkout + webhooks</t>
        </is>
      </c>
      <c r="D5" s="19" t="inlineStr">
        <is>
          <t>Asha Sharma</t>
        </is>
      </c>
      <c r="E5" s="19" t="inlineStr">
        <is>
          <t>Yes</t>
        </is>
      </c>
      <c r="F5" s="19" t="n">
        <v>5</v>
      </c>
      <c r="G5" s="19" t="n">
        <v>0</v>
      </c>
      <c r="H5" s="19" t="n">
        <v>0</v>
      </c>
      <c r="I5" s="19" t="n">
        <v>5</v>
      </c>
      <c r="J5" s="19" t="n">
        <v>4.5</v>
      </c>
      <c r="K5" s="19" t="inlineStr">
        <is>
          <t>Money path</t>
        </is>
      </c>
    </row>
    <row r="6">
      <c r="A6" s="20" t="inlineStr">
        <is>
          <t>REG-04</t>
        </is>
      </c>
      <c r="B6" s="20" t="inlineStr">
        <is>
          <t>Gov Exam Mock Tests</t>
        </is>
      </c>
      <c r="C6" s="20" t="inlineStr">
        <is>
          <t>Create/submit/results</t>
        </is>
      </c>
      <c r="D6" s="20" t="inlineStr">
        <is>
          <t>Rohan Mehta</t>
        </is>
      </c>
      <c r="E6" s="20" t="inlineStr">
        <is>
          <t>Yes</t>
        </is>
      </c>
      <c r="F6" s="20" t="n">
        <v>3</v>
      </c>
      <c r="G6" s="20" t="n">
        <v>0</v>
      </c>
      <c r="H6" s="20" t="n">
        <v>1</v>
      </c>
      <c r="I6" s="20" t="n">
        <v>4</v>
      </c>
      <c r="J6" s="20" t="n">
        <v>3</v>
      </c>
      <c r="K6" s="20" t="inlineStr">
        <is>
          <t>PDF blocked</t>
        </is>
      </c>
    </row>
    <row r="7">
      <c r="A7" s="19" t="inlineStr">
        <is>
          <t>REG-05</t>
        </is>
      </c>
      <c r="B7" s="19" t="inlineStr">
        <is>
          <t>Admin Portal</t>
        </is>
      </c>
      <c r="C7" s="19" t="inlineStr">
        <is>
          <t>Users/revenue/questions</t>
        </is>
      </c>
      <c r="D7" s="19" t="inlineStr">
        <is>
          <t>Rohan Mehta</t>
        </is>
      </c>
      <c r="E7" s="19" t="inlineStr">
        <is>
          <t>Yes</t>
        </is>
      </c>
      <c r="F7" s="19" t="n">
        <v>4</v>
      </c>
      <c r="G7" s="19" t="n">
        <v>0</v>
      </c>
      <c r="H7" s="19" t="n">
        <v>0</v>
      </c>
      <c r="I7" s="19" t="n">
        <v>4</v>
      </c>
      <c r="J7" s="19" t="n">
        <v>3.5</v>
      </c>
      <c r="K7" s="19" t="inlineStr"/>
    </row>
    <row r="8">
      <c r="A8" s="20" t="inlineStr">
        <is>
          <t>REG-06</t>
        </is>
      </c>
      <c r="B8" s="20" t="inlineStr">
        <is>
          <t>Electron Desktop Overlay</t>
        </is>
      </c>
      <c r="C8" s="20" t="inlineStr">
        <is>
          <t>Boot + hotkeys</t>
        </is>
      </c>
      <c r="D8" s="20" t="inlineStr">
        <is>
          <t>Dev Patel</t>
        </is>
      </c>
      <c r="E8" s="20" t="inlineStr">
        <is>
          <t>Partial</t>
        </is>
      </c>
      <c r="F8" s="20" t="n">
        <v>2</v>
      </c>
      <c r="G8" s="20" t="n">
        <v>0</v>
      </c>
      <c r="H8" s="20" t="n">
        <v>1</v>
      </c>
      <c r="I8" s="20" t="n">
        <v>3</v>
      </c>
      <c r="J8" s="20" t="n">
        <v>1.5</v>
      </c>
      <c r="K8" s="20" t="inlineStr">
        <is>
          <t>Unsigned</t>
        </is>
      </c>
    </row>
    <row r="9">
      <c r="A9" s="19" t="inlineStr">
        <is>
          <t>TOTAL</t>
        </is>
      </c>
      <c r="B9" s="19" t="n"/>
      <c r="C9" s="19" t="n"/>
      <c r="D9" s="19" t="n"/>
      <c r="E9" s="19" t="n"/>
      <c r="F9" s="21">
        <f>SUM(F3:F8)</f>
        <v/>
      </c>
      <c r="G9" s="21">
        <f>SUM(G3:G8)</f>
        <v/>
      </c>
      <c r="H9" s="21">
        <f>SUM(H3:H8)</f>
        <v/>
      </c>
      <c r="I9" s="21">
        <f>SUM(I3:I8)</f>
        <v/>
      </c>
      <c r="J9" s="21">
        <f>SUM(J3:J8)</f>
        <v/>
      </c>
      <c r="K9" s="19" t="n"/>
    </row>
  </sheetData>
  <autoFilter ref="A2:K9"/>
  <mergeCells count="1">
    <mergeCell ref="A1:H1"/>
  </mergeCells>
  <dataValidations count="3">
    <dataValidation sqref="B3:B5000" showDropDown="0" showInputMessage="0" showErrorMessage="0" allowBlank="1" errorTitle="Invalid" error="Pick a value from the list" type="list">
      <formula1>Lists!$Z$2:$Z$21</formula1>
    </dataValidation>
    <dataValidation sqref="D3:D5000" showDropDown="0" showInputMessage="0" showErrorMessage="0" allowBlank="1" errorTitle="Invalid" error="Pick a value from the list" type="list">
      <formula1>Lists!$AC$2:$AC$6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17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5" customWidth="1" min="15" max="15"/>
    <col width="36" customWidth="1" min="16" max="16"/>
    <col width="12" customWidth="1" min="17" max="17"/>
    <col width="33" customWidth="1" min="18" max="18"/>
    <col width="36" customWidth="1" min="19" max="19"/>
    <col width="12" customWidth="1" min="20" max="20"/>
  </cols>
  <sheetData>
    <row r="1">
      <c r="A1" s="1" t="inlineStr">
        <is>
          <t>Production Readiness Checklist</t>
        </is>
      </c>
    </row>
    <row r="2">
      <c r="A2" s="18" t="inlineStr">
        <is>
          <t>Module</t>
        </is>
      </c>
      <c r="B2" s="18" t="inlineStr">
        <is>
          <t>Feature Complete</t>
        </is>
      </c>
      <c r="C2" s="18" t="inlineStr">
        <is>
          <t>API Complete</t>
        </is>
      </c>
      <c r="D2" s="18" t="inlineStr">
        <is>
          <t>Database Ready</t>
        </is>
      </c>
      <c r="E2" s="18" t="inlineStr">
        <is>
          <t>Security Passed</t>
        </is>
      </c>
      <c r="F2" s="18" t="inlineStr">
        <is>
          <t>Performance Passed</t>
        </is>
      </c>
      <c r="G2" s="18" t="inlineStr">
        <is>
          <t>Responsive</t>
        </is>
      </c>
      <c r="H2" s="18" t="inlineStr">
        <is>
          <t>Accessibility</t>
        </is>
      </c>
      <c r="I2" s="18" t="inlineStr">
        <is>
          <t>SEO</t>
        </is>
      </c>
      <c r="J2" s="18" t="inlineStr">
        <is>
          <t>Monitoring</t>
        </is>
      </c>
      <c r="K2" s="18" t="inlineStr">
        <is>
          <t>Logging</t>
        </is>
      </c>
      <c r="L2" s="18" t="inlineStr">
        <is>
          <t>Deployment Ready</t>
        </is>
      </c>
      <c r="M2" s="18" t="inlineStr">
        <is>
          <t>Backup</t>
        </is>
      </c>
      <c r="N2" s="18" t="inlineStr">
        <is>
          <t>Recovery</t>
        </is>
      </c>
      <c r="O2" s="18" t="inlineStr">
        <is>
          <t>Documentation</t>
        </is>
      </c>
      <c r="P2" s="18" t="inlineStr">
        <is>
          <t>Ready Count</t>
        </is>
      </c>
      <c r="Q2" s="18" t="inlineStr">
        <is>
          <t>Total</t>
        </is>
      </c>
      <c r="R2" s="18" t="inlineStr">
        <is>
          <t>Readiness %</t>
        </is>
      </c>
      <c r="S2" s="18" t="inlineStr">
        <is>
          <t>Status</t>
        </is>
      </c>
      <c r="T2" s="18" t="inlineStr">
        <is>
          <t>Remarks</t>
        </is>
      </c>
    </row>
    <row r="3">
      <c r="A3" s="19" t="inlineStr">
        <is>
          <t>Auth &amp; Onboarding</t>
        </is>
      </c>
      <c r="B3" s="19" t="inlineStr">
        <is>
          <t>Yes</t>
        </is>
      </c>
      <c r="C3" s="19" t="inlineStr">
        <is>
          <t>Yes</t>
        </is>
      </c>
      <c r="D3" s="19" t="inlineStr">
        <is>
          <t>Yes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Yes</t>
        </is>
      </c>
      <c r="I3" s="19" t="inlineStr">
        <is>
          <t>Partial</t>
        </is>
      </c>
      <c r="J3" s="19" t="inlineStr">
        <is>
          <t>Yes</t>
        </is>
      </c>
      <c r="K3" s="19" t="inlineStr">
        <is>
          <t>Yes</t>
        </is>
      </c>
      <c r="L3" s="19" t="inlineStr">
        <is>
          <t>Yes</t>
        </is>
      </c>
      <c r="M3" s="19" t="inlineStr">
        <is>
          <t>Yes</t>
        </is>
      </c>
      <c r="N3" s="19" t="inlineStr">
        <is>
          <t>Yes</t>
        </is>
      </c>
      <c r="O3" s="19" t="inlineStr">
        <is>
          <t>Yes</t>
        </is>
      </c>
      <c r="P3" s="19">
        <f>IFERROR(COUNTIF(B3:O3,"Yes"),0)</f>
        <v/>
      </c>
      <c r="Q3" s="19" t="n">
        <v>14</v>
      </c>
      <c r="R3" s="25">
        <f>IFERROR(IF(Q3=0,0,P3/Q3),0)</f>
        <v/>
      </c>
      <c r="S3" s="19">
        <f>IFERROR(IF(R3&gt;=0.9,"Ready",IF(R3&gt;=0.7,"Conditional","Not Ready")),"Not Ready")</f>
        <v/>
      </c>
      <c r="T3" s="19" t="inlineStr"/>
    </row>
    <row r="4">
      <c r="A4" s="20" t="inlineStr">
        <is>
          <t>Live Practice Coach</t>
        </is>
      </c>
      <c r="B4" s="20" t="inlineStr">
        <is>
          <t>Yes</t>
        </is>
      </c>
      <c r="C4" s="20" t="inlineStr">
        <is>
          <t>Yes</t>
        </is>
      </c>
      <c r="D4" s="20" t="inlineStr">
        <is>
          <t>Yes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Partial</t>
        </is>
      </c>
      <c r="H4" s="20" t="inlineStr">
        <is>
          <t>Partial</t>
        </is>
      </c>
      <c r="I4" s="20" t="inlineStr">
        <is>
          <t>N/A</t>
        </is>
      </c>
      <c r="J4" s="20" t="inlineStr">
        <is>
          <t>Yes</t>
        </is>
      </c>
      <c r="K4" s="20" t="inlineStr">
        <is>
          <t>Yes</t>
        </is>
      </c>
      <c r="L4" s="20" t="inlineStr">
        <is>
          <t>Yes</t>
        </is>
      </c>
      <c r="M4" s="20" t="inlineStr">
        <is>
          <t>Yes</t>
        </is>
      </c>
      <c r="N4" s="20" t="inlineStr">
        <is>
          <t>Partial</t>
        </is>
      </c>
      <c r="O4" s="20" t="inlineStr">
        <is>
          <t>Yes</t>
        </is>
      </c>
      <c r="P4" s="20">
        <f>IFERROR(COUNTIF(B4:O4,"Yes"),0)</f>
        <v/>
      </c>
      <c r="Q4" s="20" t="n">
        <v>14</v>
      </c>
      <c r="R4" s="26">
        <f>IFERROR(IF(Q4=0,0,P4/Q4),0)</f>
        <v/>
      </c>
      <c r="S4" s="20">
        <f>IFERROR(IF(R4&gt;=0.9,"Ready",IF(R4&gt;=0.7,"Conditional","Not Ready")),"Not Ready")</f>
        <v/>
      </c>
      <c r="T4" s="20" t="inlineStr"/>
    </row>
    <row r="5">
      <c r="A5" s="19" t="inlineStr">
        <is>
          <t>Billing &amp; Credits</t>
        </is>
      </c>
      <c r="B5" s="19" t="inlineStr">
        <is>
          <t>Yes</t>
        </is>
      </c>
      <c r="C5" s="19" t="inlineStr">
        <is>
          <t>Yes</t>
        </is>
      </c>
      <c r="D5" s="19" t="inlineStr">
        <is>
          <t>Yes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Partial</t>
        </is>
      </c>
      <c r="I5" s="19" t="inlineStr">
        <is>
          <t>N/A</t>
        </is>
      </c>
      <c r="J5" s="19" t="inlineStr">
        <is>
          <t>Partial</t>
        </is>
      </c>
      <c r="K5" s="19" t="inlineStr">
        <is>
          <t>Yes</t>
        </is>
      </c>
      <c r="L5" s="19" t="inlineStr">
        <is>
          <t>Yes</t>
        </is>
      </c>
      <c r="M5" s="19" t="inlineStr">
        <is>
          <t>Yes</t>
        </is>
      </c>
      <c r="N5" s="19" t="inlineStr">
        <is>
          <t>Partial</t>
        </is>
      </c>
      <c r="O5" s="19" t="inlineStr">
        <is>
          <t>Yes</t>
        </is>
      </c>
      <c r="P5" s="19">
        <f>IFERROR(COUNTIF(B5:O5,"Yes"),0)</f>
        <v/>
      </c>
      <c r="Q5" s="19" t="n">
        <v>14</v>
      </c>
      <c r="R5" s="25">
        <f>IFERROR(IF(Q5=0,0,P5/Q5),0)</f>
        <v/>
      </c>
      <c r="S5" s="19">
        <f>IFERROR(IF(R5&gt;=0.9,"Ready",IF(R5&gt;=0.7,"Conditional","Not Ready")),"Not Ready")</f>
        <v/>
      </c>
      <c r="T5" s="19" t="inlineStr"/>
    </row>
    <row r="6">
      <c r="A6" s="20" t="inlineStr">
        <is>
          <t>Gov Exam Mock Tests</t>
        </is>
      </c>
      <c r="B6" s="20" t="inlineStr">
        <is>
          <t>Partial</t>
        </is>
      </c>
      <c r="C6" s="20" t="inlineStr">
        <is>
          <t>Yes</t>
        </is>
      </c>
      <c r="D6" s="20" t="inlineStr">
        <is>
          <t>Partial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Partial</t>
        </is>
      </c>
      <c r="I6" s="20" t="inlineStr">
        <is>
          <t>Partial</t>
        </is>
      </c>
      <c r="J6" s="20" t="inlineStr">
        <is>
          <t>Partial</t>
        </is>
      </c>
      <c r="K6" s="20" t="inlineStr">
        <is>
          <t>Yes</t>
        </is>
      </c>
      <c r="L6" s="20" t="inlineStr">
        <is>
          <t>Partial</t>
        </is>
      </c>
      <c r="M6" s="20" t="inlineStr">
        <is>
          <t>Yes</t>
        </is>
      </c>
      <c r="N6" s="20" t="inlineStr">
        <is>
          <t>Partial</t>
        </is>
      </c>
      <c r="O6" s="20" t="inlineStr">
        <is>
          <t>Partial</t>
        </is>
      </c>
      <c r="P6" s="20">
        <f>IFERROR(COUNTIF(B6:O6,"Yes"),0)</f>
        <v/>
      </c>
      <c r="Q6" s="20" t="n">
        <v>14</v>
      </c>
      <c r="R6" s="26">
        <f>IFERROR(IF(Q6=0,0,P6/Q6),0)</f>
        <v/>
      </c>
      <c r="S6" s="20">
        <f>IFERROR(IF(R6&gt;=0.9,"Ready",IF(R6&gt;=0.7,"Conditional","Not Ready")),"Not Ready")</f>
        <v/>
      </c>
      <c r="T6" s="20" t="inlineStr"/>
    </row>
    <row r="7">
      <c r="A7" s="19" t="inlineStr">
        <is>
          <t>Admin Portal</t>
        </is>
      </c>
      <c r="B7" s="19" t="inlineStr">
        <is>
          <t>Partial</t>
        </is>
      </c>
      <c r="C7" s="19" t="inlineStr">
        <is>
          <t>Yes</t>
        </is>
      </c>
      <c r="D7" s="19" t="inlineStr">
        <is>
          <t>Yes</t>
        </is>
      </c>
      <c r="E7" s="19" t="inlineStr">
        <is>
          <t>Yes</t>
        </is>
      </c>
      <c r="F7" s="19" t="inlineStr">
        <is>
          <t>Partial</t>
        </is>
      </c>
      <c r="G7" s="19" t="inlineStr">
        <is>
          <t>Partial</t>
        </is>
      </c>
      <c r="H7" s="19" t="inlineStr">
        <is>
          <t>Partial</t>
        </is>
      </c>
      <c r="I7" s="19" t="inlineStr">
        <is>
          <t>N/A</t>
        </is>
      </c>
      <c r="J7" s="19" t="inlineStr">
        <is>
          <t>Partial</t>
        </is>
      </c>
      <c r="K7" s="19" t="inlineStr">
        <is>
          <t>Yes</t>
        </is>
      </c>
      <c r="L7" s="19" t="inlineStr">
        <is>
          <t>Yes</t>
        </is>
      </c>
      <c r="M7" s="19" t="inlineStr">
        <is>
          <t>Yes</t>
        </is>
      </c>
      <c r="N7" s="19" t="inlineStr">
        <is>
          <t>Partial</t>
        </is>
      </c>
      <c r="O7" s="19" t="inlineStr">
        <is>
          <t>Partial</t>
        </is>
      </c>
      <c r="P7" s="19">
        <f>IFERROR(COUNTIF(B7:O7,"Yes"),0)</f>
        <v/>
      </c>
      <c r="Q7" s="19" t="n">
        <v>14</v>
      </c>
      <c r="R7" s="25">
        <f>IFERROR(IF(Q7=0,0,P7/Q7),0)</f>
        <v/>
      </c>
      <c r="S7" s="19">
        <f>IFERROR(IF(R7&gt;=0.9,"Ready",IF(R7&gt;=0.7,"Conditional","Not Ready")),"Not Ready")</f>
        <v/>
      </c>
      <c r="T7" s="19" t="inlineStr"/>
    </row>
    <row r="8">
      <c r="A8" s="20" t="inlineStr">
        <is>
          <t>Electron Desktop Overlay</t>
        </is>
      </c>
      <c r="B8" s="20" t="inlineStr">
        <is>
          <t>Partial</t>
        </is>
      </c>
      <c r="C8" s="20" t="inlineStr">
        <is>
          <t>N/A</t>
        </is>
      </c>
      <c r="D8" s="20" t="inlineStr">
        <is>
          <t>N/A</t>
        </is>
      </c>
      <c r="E8" s="20" t="inlineStr">
        <is>
          <t>Partial</t>
        </is>
      </c>
      <c r="F8" s="20" t="inlineStr">
        <is>
          <t>Yes</t>
        </is>
      </c>
      <c r="G8" s="20" t="inlineStr">
        <is>
          <t>N/A</t>
        </is>
      </c>
      <c r="H8" s="20" t="inlineStr">
        <is>
          <t>Partial</t>
        </is>
      </c>
      <c r="I8" s="20" t="inlineStr">
        <is>
          <t>N/A</t>
        </is>
      </c>
      <c r="J8" s="20" t="inlineStr">
        <is>
          <t>Partial</t>
        </is>
      </c>
      <c r="K8" s="20" t="inlineStr">
        <is>
          <t>Partial</t>
        </is>
      </c>
      <c r="L8" s="20" t="inlineStr">
        <is>
          <t>Partial</t>
        </is>
      </c>
      <c r="M8" s="20" t="inlineStr">
        <is>
          <t>Yes</t>
        </is>
      </c>
      <c r="N8" s="20" t="inlineStr">
        <is>
          <t>Partial</t>
        </is>
      </c>
      <c r="O8" s="20" t="inlineStr">
        <is>
          <t>Partial</t>
        </is>
      </c>
      <c r="P8" s="20">
        <f>IFERROR(COUNTIF(B8:O8,"Yes"),0)</f>
        <v/>
      </c>
      <c r="Q8" s="20" t="n">
        <v>14</v>
      </c>
      <c r="R8" s="26">
        <f>IFERROR(IF(Q8=0,0,P8/Q8),0)</f>
        <v/>
      </c>
      <c r="S8" s="20">
        <f>IFERROR(IF(R8&gt;=0.9,"Ready",IF(R8&gt;=0.7,"Conditional","Not Ready")),"Not Ready")</f>
        <v/>
      </c>
      <c r="T8" s="20" t="inlineStr"/>
    </row>
    <row r="9">
      <c r="A9" s="19" t="inlineStr">
        <is>
          <t>Marketing Site</t>
        </is>
      </c>
      <c r="B9" s="19" t="inlineStr">
        <is>
          <t>Yes</t>
        </is>
      </c>
      <c r="C9" s="19" t="inlineStr">
        <is>
          <t>N/A</t>
        </is>
      </c>
      <c r="D9" s="19" t="inlineStr">
        <is>
          <t>Yes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Yes</t>
        </is>
      </c>
      <c r="H9" s="19" t="inlineStr">
        <is>
          <t>Partial</t>
        </is>
      </c>
      <c r="I9" s="19" t="inlineStr">
        <is>
          <t>Yes</t>
        </is>
      </c>
      <c r="J9" s="19" t="inlineStr">
        <is>
          <t>Yes</t>
        </is>
      </c>
      <c r="K9" s="19" t="inlineStr">
        <is>
          <t>Yes</t>
        </is>
      </c>
      <c r="L9" s="19" t="inlineStr">
        <is>
          <t>Yes</t>
        </is>
      </c>
      <c r="M9" s="19" t="inlineStr">
        <is>
          <t>Yes</t>
        </is>
      </c>
      <c r="N9" s="19" t="inlineStr">
        <is>
          <t>Yes</t>
        </is>
      </c>
      <c r="O9" s="19" t="inlineStr">
        <is>
          <t>Yes</t>
        </is>
      </c>
      <c r="P9" s="19">
        <f>IFERROR(COUNTIF(B9:O9,"Yes"),0)</f>
        <v/>
      </c>
      <c r="Q9" s="19" t="n">
        <v>14</v>
      </c>
      <c r="R9" s="25">
        <f>IFERROR(IF(Q9=0,0,P9/Q9),0)</f>
        <v/>
      </c>
      <c r="S9" s="19">
        <f>IFERROR(IF(R9&gt;=0.9,"Ready",IF(R9&gt;=0.7,"Conditional","Not Ready")),"Not Ready")</f>
        <v/>
      </c>
      <c r="T9" s="19" t="inlineStr"/>
    </row>
    <row r="10">
      <c r="A10" s="20" t="inlineStr">
        <is>
          <t>Security &amp; Platform</t>
        </is>
      </c>
      <c r="B10" s="20" t="inlineStr">
        <is>
          <t>Partial</t>
        </is>
      </c>
      <c r="C10" s="20" t="inlineStr">
        <is>
          <t>Yes</t>
        </is>
      </c>
      <c r="D10" s="20" t="inlineStr">
        <is>
          <t>Partial</t>
        </is>
      </c>
      <c r="E10" s="20" t="inlineStr">
        <is>
          <t>Partial</t>
        </is>
      </c>
      <c r="F10" s="20" t="inlineStr">
        <is>
          <t>Yes</t>
        </is>
      </c>
      <c r="G10" s="20" t="inlineStr">
        <is>
          <t>N/A</t>
        </is>
      </c>
      <c r="H10" s="20" t="inlineStr">
        <is>
          <t>N/A</t>
        </is>
      </c>
      <c r="I10" s="20" t="inlineStr">
        <is>
          <t>N/A</t>
        </is>
      </c>
      <c r="J10" s="20" t="inlineStr">
        <is>
          <t>Partial</t>
        </is>
      </c>
      <c r="K10" s="20" t="inlineStr">
        <is>
          <t>Yes</t>
        </is>
      </c>
      <c r="L10" s="20" t="inlineStr">
        <is>
          <t>Yes</t>
        </is>
      </c>
      <c r="M10" s="20" t="inlineStr">
        <is>
          <t>Yes</t>
        </is>
      </c>
      <c r="N10" s="20" t="inlineStr">
        <is>
          <t>Partial</t>
        </is>
      </c>
      <c r="O10" s="20" t="inlineStr">
        <is>
          <t>Yes</t>
        </is>
      </c>
      <c r="P10" s="20">
        <f>IFERROR(COUNTIF(B10:O10,"Yes"),0)</f>
        <v/>
      </c>
      <c r="Q10" s="20" t="n">
        <v>14</v>
      </c>
      <c r="R10" s="26">
        <f>IFERROR(IF(Q10=0,0,P10/Q10),0)</f>
        <v/>
      </c>
      <c r="S10" s="20">
        <f>IFERROR(IF(R10&gt;=0.9,"Ready",IF(R10&gt;=0.7,"Conditional","Not Ready")),"Not Ready")</f>
        <v/>
      </c>
      <c r="T10" s="20" t="inlineStr"/>
    </row>
  </sheetData>
  <autoFilter ref="A2:T10"/>
  <mergeCells count="1">
    <mergeCell ref="A1:H1"/>
  </mergeCells>
  <dataValidations count="16">
    <dataValidation sqref="B3:B5000" showDropDown="0" showInputMessage="0" showErrorMessage="0" allowBlank="1" errorTitle="Invalid" error="Pick a value from the list" type="list">
      <formula1>Lists!$I$2:$I$5</formula1>
    </dataValidation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H3:H5000" showDropDown="0" showInputMessage="0" showErrorMessage="0" allowBlank="1" errorTitle="Invalid" error="Pick a value from the list" type="list">
      <formula1>Lists!$I$2:$I$5</formula1>
    </dataValidation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Lists!$I$2:$I$5</formula1>
    </dataValidation>
    <dataValidation sqref="L3:L5000" showDropDown="0" showInputMessage="0" showErrorMessage="0" allowBlank="1" errorTitle="Invalid" error="Pick a value from the list" type="list">
      <formula1>Lists!$I$2:$I$5</formula1>
    </dataValidation>
    <dataValidation sqref="M3:M5000" showDropDown="0" showInputMessage="0" showErrorMessage="0" allowBlank="1" errorTitle="Invalid" error="Pick a value from the list" type="list">
      <formula1>Lists!$I$2:$I$5</formula1>
    </dataValidation>
    <dataValidation sqref="N3:N5000" showDropDown="0" showInputMessage="0" showErrorMessage="0" allowBlank="1" errorTitle="Invalid" error="Pick a value from the list" type="list">
      <formula1>Lists!$I$2:$I$5</formula1>
    </dataValidation>
    <dataValidation sqref="O3:O5000" showDropDown="0" showInputMessage="0" showErrorMessage="0" allowBlank="1" errorTitle="Invalid" error="Pick a value from the list" type="list">
      <formula1>Lists!$I$2:$I$5</formula1>
    </dataValidation>
    <dataValidation sqref="A3:A5000" showDropDown="0" showInputMessage="0" showErrorMessage="0" allowBlank="1" errorTitle="Invalid" error="Pick a value from the list" type="list">
      <formula1>Lists!$Z$2:$Z$21</formula1>
    </dataValidation>
    <dataValidation sqref="S3:S5000" showDropDown="0" showInputMessage="0" showErrorMessage="0" allowBlank="1" errorTitle="Invalid" error="Pick a value from the list" type="list">
      <formula1>Lists!$P$2:$P$5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36" customWidth="1" min="8" max="8"/>
    <col width="33" customWidth="1" min="9" max="9"/>
    <col width="12" customWidth="1" min="10" max="10"/>
    <col width="21" customWidth="1" min="11" max="11"/>
    <col width="16" customWidth="1" min="12" max="12"/>
    <col width="32" customWidth="1" min="13" max="13"/>
  </cols>
  <sheetData>
    <row r="1">
      <c r="A1" s="1" t="inlineStr">
        <is>
          <t>Release Sign-Off</t>
        </is>
      </c>
    </row>
    <row r="2">
      <c r="A2" s="18" t="inlineStr">
        <is>
          <t>Release Version</t>
        </is>
      </c>
      <c r="B2" s="18" t="inlineStr">
        <is>
          <t>Build</t>
        </is>
      </c>
      <c r="C2" s="18" t="inlineStr">
        <is>
          <t>Environment</t>
        </is>
      </c>
      <c r="D2" s="18" t="inlineStr">
        <is>
          <t>QA Lead</t>
        </is>
      </c>
      <c r="E2" s="18" t="inlineStr">
        <is>
          <t>Developer Lead</t>
        </is>
      </c>
      <c r="F2" s="18" t="inlineStr">
        <is>
          <t>Product Owner</t>
        </is>
      </c>
      <c r="G2" s="18" t="inlineStr">
        <is>
          <t>Passed</t>
        </is>
      </c>
      <c r="H2" s="18" t="inlineStr">
        <is>
          <t>Known Issues</t>
        </is>
      </c>
      <c r="I2" s="18" t="inlineStr">
        <is>
          <t>Blockers</t>
        </is>
      </c>
      <c r="J2" s="18" t="inlineStr">
        <is>
          <t>Risk Level</t>
        </is>
      </c>
      <c r="K2" s="18" t="inlineStr">
        <is>
          <t>Deployment Approval</t>
        </is>
      </c>
      <c r="L2" s="18" t="inlineStr">
        <is>
          <t>Go/No-Go</t>
        </is>
      </c>
      <c r="M2" s="18" t="inlineStr">
        <is>
          <t>Remarks</t>
        </is>
      </c>
    </row>
    <row r="3">
      <c r="A3" s="19" t="inlineStr">
        <is>
          <t>1.0.0-beta</t>
        </is>
      </c>
      <c r="B3" s="19" t="inlineStr">
        <is>
          <t>1.0.0</t>
        </is>
      </c>
      <c r="C3" s="19" t="inlineStr">
        <is>
          <t>Staging</t>
        </is>
      </c>
      <c r="D3" s="19" t="inlineStr">
        <is>
          <t>Kavya Iyer</t>
        </is>
      </c>
      <c r="E3" s="19" t="inlineStr">
        <is>
          <t>Dev Lead</t>
        </is>
      </c>
      <c r="F3" s="19" t="inlineStr">
        <is>
          <t>Product</t>
        </is>
      </c>
      <c r="G3" s="19" t="inlineStr">
        <is>
          <t>Yes</t>
        </is>
      </c>
      <c r="H3" s="19" t="inlineStr">
        <is>
          <t>BUG-002 no Razorpay renew; BUG-004 thin bank; unsigned Electron</t>
        </is>
      </c>
      <c r="I3" s="19" t="inlineStr">
        <is>
          <t>Calendar 501 without secrets</t>
        </is>
      </c>
      <c r="J3" s="19" t="inlineStr">
        <is>
          <t>Medium</t>
        </is>
      </c>
      <c r="K3" s="19" t="inlineStr">
        <is>
          <t>Pending</t>
        </is>
      </c>
      <c r="L3" s="19" t="inlineStr">
        <is>
          <t>Conditional Go</t>
        </is>
      </c>
      <c r="M3" s="19" t="inlineStr">
        <is>
          <t>Closed beta OK; hold full prod</t>
        </is>
      </c>
    </row>
    <row r="4">
      <c r="A4" s="20" t="inlineStr">
        <is>
          <t>1.0.0</t>
        </is>
      </c>
      <c r="B4" s="20" t="inlineStr">
        <is>
          <t>1.0.0</t>
        </is>
      </c>
      <c r="C4" s="20" t="inlineStr">
        <is>
          <t>Production</t>
        </is>
      </c>
      <c r="D4" s="20" t="inlineStr">
        <is>
          <t>Kavya Iyer</t>
        </is>
      </c>
      <c r="E4" s="20" t="inlineStr">
        <is>
          <t>Dev Lead</t>
        </is>
      </c>
      <c r="F4" s="20" t="inlineStr">
        <is>
          <t>Product</t>
        </is>
      </c>
      <c r="G4" s="20" t="inlineStr">
        <is>
          <t>No</t>
        </is>
      </c>
      <c r="H4" s="20" t="inlineStr">
        <is>
          <t>See CHANGELOG deferred</t>
        </is>
      </c>
      <c r="I4" s="20" t="inlineStr">
        <is>
          <t>Code signing; anon key rotation</t>
        </is>
      </c>
      <c r="J4" s="20" t="inlineStr">
        <is>
          <t>High</t>
        </is>
      </c>
      <c r="K4" s="20" t="inlineStr">
        <is>
          <t>Pending</t>
        </is>
      </c>
      <c r="L4" s="20" t="inlineStr">
        <is>
          <t>No-Go</t>
        </is>
      </c>
      <c r="M4" s="20" t="inlineStr">
        <is>
          <t>Await cert + content seed</t>
        </is>
      </c>
    </row>
    <row r="5">
      <c r="A5" s="19" t="inlineStr">
        <is>
          <t>1.0.1</t>
        </is>
      </c>
      <c r="B5" s="19" t="inlineStr">
        <is>
          <t>TBD</t>
        </is>
      </c>
      <c r="C5" s="19" t="inlineStr">
        <is>
          <t>Staging</t>
        </is>
      </c>
      <c r="D5" s="19" t="inlineStr">
        <is>
          <t>Kavya Iyer</t>
        </is>
      </c>
      <c r="E5" s="19" t="inlineStr">
        <is>
          <t>Dev Lead</t>
        </is>
      </c>
      <c r="F5" s="19" t="inlineStr">
        <is>
          <t>Product</t>
        </is>
      </c>
      <c r="G5" s="19" t="inlineStr">
        <is>
          <t>No</t>
        </is>
      </c>
      <c r="H5" s="19" t="inlineStr"/>
      <c r="I5" s="19" t="inlineStr"/>
      <c r="J5" s="19" t="inlineStr">
        <is>
          <t>Low</t>
        </is>
      </c>
      <c r="K5" s="19" t="inlineStr">
        <is>
          <t>Deferred</t>
        </is>
      </c>
      <c r="L5" s="19" t="inlineStr">
        <is>
          <t>No-Go</t>
        </is>
      </c>
      <c r="M5" s="19" t="inlineStr">
        <is>
          <t>Placeholder</t>
        </is>
      </c>
    </row>
  </sheetData>
  <autoFilter ref="A2:M5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6">
    <dataValidation sqref="A3:A5000" showDropDown="0" showInputMessage="0" showErrorMessage="0" allowBlank="1" errorTitle="Invalid" error="Pick a value from the list" type="list">
      <formula1>Lists!$X$2:$X$5</formula1>
    </dataValidation>
    <dataValidation sqref="C3:C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K3:K5000" showDropDown="0" showInputMessage="0" showErrorMessage="0" allowBlank="1" errorTitle="Invalid" error="Pick a value from the list" type="list">
      <formula1>Lists!$R$2:$R$5</formula1>
    </dataValidation>
    <dataValidation sqref="L3:L5000" showDropDown="0" showInputMessage="0" showErrorMessage="0" allowBlank="1" errorTitle="Invalid" error="Pick a value from the list" type="list">
      <formula1>Lists!$Q$2:$Q$4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9" customWidth="1" min="4" max="4"/>
    <col width="32" customWidth="1" min="5" max="5"/>
    <col width="36" customWidth="1" min="6" max="6"/>
    <col width="36" customWidth="1" min="7" max="7"/>
    <col width="3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QA Team Roster — Clarify AI</t>
        </is>
      </c>
    </row>
    <row r="2">
      <c r="A2" s="18" t="inlineStr">
        <is>
          <t>QA Person</t>
        </is>
      </c>
      <c r="B2" s="18" t="inlineStr">
        <is>
          <t>Role</t>
        </is>
      </c>
      <c r="C2" s="18" t="inlineStr">
        <is>
          <t>Email</t>
        </is>
      </c>
      <c r="D2" s="18" t="inlineStr">
        <is>
          <t>Capacity Hrs/Week</t>
        </is>
      </c>
      <c r="E2" s="18" t="inlineStr">
        <is>
          <t>Skills Focus</t>
        </is>
      </c>
      <c r="F2" s="18" t="inlineStr">
        <is>
          <t>Assigned Cases</t>
        </is>
      </c>
      <c r="G2" s="18" t="inlineStr">
        <is>
          <t>Est Hours Assigned</t>
        </is>
      </c>
      <c r="H2" s="18" t="inlineStr">
        <is>
          <t>Actual Hours Logged</t>
        </is>
      </c>
      <c r="I2" s="18" t="inlineStr">
        <is>
          <t>Utilization %</t>
        </is>
      </c>
      <c r="J2" s="18" t="inlineStr">
        <is>
          <t>Status</t>
        </is>
      </c>
      <c r="K2" s="18" t="inlineStr">
        <is>
          <t>Remarks</t>
        </is>
      </c>
    </row>
    <row r="3">
      <c r="A3" s="19" t="inlineStr">
        <is>
          <t>Kavya Iyer</t>
        </is>
      </c>
      <c r="B3" s="19" t="inlineStr">
        <is>
          <t>QA Lead</t>
        </is>
      </c>
      <c r="C3" s="19" t="inlineStr">
        <is>
          <t>kavya.iyer@clarify.ai</t>
        </is>
      </c>
      <c r="D3" s="19" t="n">
        <v>40</v>
      </c>
      <c r="E3" s="19" t="inlineStr">
        <is>
          <t>Sign-off, regression, UAT</t>
        </is>
      </c>
      <c r="F3" s="19">
        <f>COUNTIF('04 Test Case Repository'!S$3:S$5000,A3)</f>
        <v/>
      </c>
      <c r="G3" s="19">
        <f>SUMIF('04 Test Case Repository'!S$3:S$5000,A3,'04 Test Case Repository'!T$3:T$5000)</f>
        <v/>
      </c>
      <c r="H3" s="19">
        <f>SUMIF('04 Test Case Repository'!S$3:S$5000,A3,'04 Test Case Repository'!U$3:U$5000)</f>
        <v/>
      </c>
      <c r="I3" s="25">
        <f>IFERROR(H3/D3,0)</f>
        <v/>
      </c>
      <c r="J3" s="19" t="inlineStr">
        <is>
          <t>Active</t>
        </is>
      </c>
      <c r="K3" s="19" t="inlineStr"/>
    </row>
    <row r="4">
      <c r="A4" s="20" t="inlineStr">
        <is>
          <t>Asha Sharma</t>
        </is>
      </c>
      <c r="B4" s="20" t="inlineStr">
        <is>
          <t>Senior QA</t>
        </is>
      </c>
      <c r="C4" s="20" t="inlineStr">
        <is>
          <t>asha.sharma@clarify.ai</t>
        </is>
      </c>
      <c r="D4" s="20" t="n">
        <v>40</v>
      </c>
      <c r="E4" s="20" t="inlineStr">
        <is>
          <t>Billing, auth, API</t>
        </is>
      </c>
      <c r="F4" s="20">
        <f>COUNTIF('04 Test Case Repository'!S$3:S$5000,A4)</f>
        <v/>
      </c>
      <c r="G4" s="20">
        <f>SUMIF('04 Test Case Repository'!S$3:S$5000,A4,'04 Test Case Repository'!T$3:T$5000)</f>
        <v/>
      </c>
      <c r="H4" s="20">
        <f>SUMIF('04 Test Case Repository'!S$3:S$5000,A4,'04 Test Case Repository'!U$3:U$5000)</f>
        <v/>
      </c>
      <c r="I4" s="26">
        <f>IFERROR(H4/D4,0)</f>
        <v/>
      </c>
      <c r="J4" s="20" t="inlineStr">
        <is>
          <t>Active</t>
        </is>
      </c>
      <c r="K4" s="20" t="inlineStr"/>
    </row>
    <row r="5">
      <c r="A5" s="19" t="inlineStr">
        <is>
          <t>Rohan Mehta</t>
        </is>
      </c>
      <c r="B5" s="19" t="inlineStr">
        <is>
          <t>QA Engineer</t>
        </is>
      </c>
      <c r="C5" s="19" t="inlineStr">
        <is>
          <t>rohan.mehta@clarify.ai</t>
        </is>
      </c>
      <c r="D5" s="19" t="n">
        <v>40</v>
      </c>
      <c r="E5" s="19" t="inlineStr">
        <is>
          <t>Gov exams, mobile, admin</t>
        </is>
      </c>
      <c r="F5" s="19">
        <f>COUNTIF('04 Test Case Repository'!S$3:S$5000,A5)</f>
        <v/>
      </c>
      <c r="G5" s="19">
        <f>SUMIF('04 Test Case Repository'!S$3:S$5000,A5,'04 Test Case Repository'!T$3:T$5000)</f>
        <v/>
      </c>
      <c r="H5" s="19">
        <f>SUMIF('04 Test Case Repository'!S$3:S$5000,A5,'04 Test Case Repository'!U$3:U$5000)</f>
        <v/>
      </c>
      <c r="I5" s="25">
        <f>IFERROR(H5/D5,0)</f>
        <v/>
      </c>
      <c r="J5" s="19" t="inlineStr">
        <is>
          <t>Active</t>
        </is>
      </c>
      <c r="K5" s="19" t="inlineStr"/>
    </row>
    <row r="6">
      <c r="A6" s="20" t="inlineStr">
        <is>
          <t>Priya Nair</t>
        </is>
      </c>
      <c r="B6" s="20" t="inlineStr">
        <is>
          <t>QA Engineer</t>
        </is>
      </c>
      <c r="C6" s="20" t="inlineStr">
        <is>
          <t>priya.nair@clarify.ai</t>
        </is>
      </c>
      <c r="D6" s="20" t="n">
        <v>40</v>
      </c>
      <c r="E6" s="20" t="inlineStr">
        <is>
          <t>Live coach, documents, E2E</t>
        </is>
      </c>
      <c r="F6" s="20">
        <f>COUNTIF('04 Test Case Repository'!S$3:S$5000,A6)</f>
        <v/>
      </c>
      <c r="G6" s="20">
        <f>SUMIF('04 Test Case Repository'!S$3:S$5000,A6,'04 Test Case Repository'!T$3:T$5000)</f>
        <v/>
      </c>
      <c r="H6" s="20">
        <f>SUMIF('04 Test Case Repository'!S$3:S$5000,A6,'04 Test Case Repository'!U$3:U$5000)</f>
        <v/>
      </c>
      <c r="I6" s="26">
        <f>IFERROR(H6/D6,0)</f>
        <v/>
      </c>
      <c r="J6" s="20" t="inlineStr">
        <is>
          <t>Active</t>
        </is>
      </c>
      <c r="K6" s="20" t="inlineStr"/>
    </row>
    <row r="7">
      <c r="A7" s="19" t="inlineStr">
        <is>
          <t>Dev Patel</t>
        </is>
      </c>
      <c r="B7" s="19" t="inlineStr">
        <is>
          <t>SDET</t>
        </is>
      </c>
      <c r="C7" s="19" t="inlineStr">
        <is>
          <t>dev.patel@clarify.ai</t>
        </is>
      </c>
      <c r="D7" s="19" t="n">
        <v>40</v>
      </c>
      <c r="E7" s="19" t="inlineStr">
        <is>
          <t>Automation, webhooks, Electron</t>
        </is>
      </c>
      <c r="F7" s="19">
        <f>COUNTIF('04 Test Case Repository'!S$3:S$5000,A7)</f>
        <v/>
      </c>
      <c r="G7" s="19">
        <f>SUMIF('04 Test Case Repository'!S$3:S$5000,A7,'04 Test Case Repository'!T$3:T$5000)</f>
        <v/>
      </c>
      <c r="H7" s="19">
        <f>SUMIF('04 Test Case Repository'!S$3:S$5000,A7,'04 Test Case Repository'!U$3:U$5000)</f>
        <v/>
      </c>
      <c r="I7" s="25">
        <f>IFERROR(H7/D7,0)</f>
        <v/>
      </c>
      <c r="J7" s="19" t="inlineStr">
        <is>
          <t>Active</t>
        </is>
      </c>
      <c r="K7" s="19" t="inlineStr"/>
    </row>
    <row r="8">
      <c r="A8" s="24" t="inlineStr">
        <is>
          <t>TOTAL</t>
        </is>
      </c>
      <c r="B8" s="24" t="n"/>
      <c r="C8" s="24" t="n"/>
      <c r="D8" s="24">
        <f>SUM(D3:D7)</f>
        <v/>
      </c>
      <c r="E8" s="24" t="n"/>
      <c r="F8" s="24">
        <f>SUM(F3:F7)</f>
        <v/>
      </c>
      <c r="G8" s="24">
        <f>SUM(G3:G7)</f>
        <v/>
      </c>
      <c r="H8" s="24">
        <f>SUM(H3:H7)</f>
        <v/>
      </c>
      <c r="I8" s="27">
        <f>IFERROR(H8/D8,0)</f>
        <v/>
      </c>
      <c r="J8" s="24" t="n"/>
      <c r="K8" s="24" t="n"/>
    </row>
  </sheetData>
  <autoFilter ref="A2:K8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1" customWidth="1" min="10" max="10"/>
  </cols>
  <sheetData>
    <row r="1">
      <c r="A1" s="1" t="inlineStr">
        <is>
          <t>Daily Progress Log (feeds Dashboard chart)</t>
        </is>
      </c>
    </row>
    <row r="2">
      <c r="A2" s="18" t="inlineStr">
        <is>
          <t>Date</t>
        </is>
      </c>
      <c r="B2" s="18" t="inlineStr">
        <is>
          <t>QA Person</t>
        </is>
      </c>
      <c r="C2" s="18" t="inlineStr">
        <is>
          <t>Cases Executed</t>
        </is>
      </c>
      <c r="D2" s="18" t="inlineStr">
        <is>
          <t>Passed</t>
        </is>
      </c>
      <c r="E2" s="18" t="inlineStr">
        <is>
          <t>Failed</t>
        </is>
      </c>
      <c r="F2" s="18" t="inlineStr">
        <is>
          <t>Blocked</t>
        </is>
      </c>
      <c r="G2" s="18" t="inlineStr">
        <is>
          <t>Bugs Opened</t>
        </is>
      </c>
      <c r="H2" s="18" t="inlineStr">
        <is>
          <t>Bugs Closed</t>
        </is>
      </c>
      <c r="I2" s="18" t="inlineStr">
        <is>
          <t>Hours Logged</t>
        </is>
      </c>
      <c r="J2" s="18" t="inlineStr">
        <is>
          <t>Remarks</t>
        </is>
      </c>
    </row>
    <row r="3">
      <c r="A3" s="22" t="n">
        <v>46225</v>
      </c>
      <c r="B3" s="19" t="inlineStr">
        <is>
          <t>Asha Sharma</t>
        </is>
      </c>
      <c r="C3" s="19" t="n">
        <v>8</v>
      </c>
      <c r="D3" s="19" t="n">
        <v>6</v>
      </c>
      <c r="E3" s="19" t="n">
        <v>1</v>
      </c>
      <c r="F3" s="19" t="n">
        <v>0</v>
      </c>
      <c r="G3" s="19" t="n">
        <v>1</v>
      </c>
      <c r="H3" s="19" t="n">
        <v>0</v>
      </c>
      <c r="I3" s="19" t="n">
        <v>4.5</v>
      </c>
      <c r="J3" s="19" t="inlineStr">
        <is>
          <t>Sprint 26 execution</t>
        </is>
      </c>
    </row>
    <row r="4">
      <c r="A4" s="23" t="n">
        <v>46226</v>
      </c>
      <c r="B4" s="20" t="inlineStr">
        <is>
          <t>Priya Nair</t>
        </is>
      </c>
      <c r="C4" s="20" t="n">
        <v>10</v>
      </c>
      <c r="D4" s="20" t="n">
        <v>7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5</v>
      </c>
      <c r="J4" s="20" t="inlineStr">
        <is>
          <t>Sprint 26 execution</t>
        </is>
      </c>
    </row>
    <row r="5">
      <c r="A5" s="22" t="n">
        <v>46227</v>
      </c>
      <c r="B5" s="19" t="inlineStr">
        <is>
          <t>Rohan Mehta</t>
        </is>
      </c>
      <c r="C5" s="19" t="n">
        <v>12</v>
      </c>
      <c r="D5" s="19" t="n">
        <v>8</v>
      </c>
      <c r="E5" s="19" t="n">
        <v>0</v>
      </c>
      <c r="F5" s="19" t="n">
        <v>0</v>
      </c>
      <c r="G5" s="19" t="n">
        <v>1</v>
      </c>
      <c r="H5" s="19" t="n">
        <v>0</v>
      </c>
      <c r="I5" s="19" t="n">
        <v>5.5</v>
      </c>
      <c r="J5" s="19" t="inlineStr">
        <is>
          <t>Sprint 26 execution</t>
        </is>
      </c>
    </row>
    <row r="6">
      <c r="A6" s="23" t="n">
        <v>46228</v>
      </c>
      <c r="B6" s="20" t="inlineStr">
        <is>
          <t>Dev Patel</t>
        </is>
      </c>
      <c r="C6" s="20" t="n">
        <v>14</v>
      </c>
      <c r="D6" s="20" t="n">
        <v>9</v>
      </c>
      <c r="E6" s="20" t="n">
        <v>1</v>
      </c>
      <c r="F6" s="20" t="n">
        <v>0</v>
      </c>
      <c r="G6" s="20" t="n">
        <v>0</v>
      </c>
      <c r="H6" s="20" t="n">
        <v>0</v>
      </c>
      <c r="I6" s="20" t="n">
        <v>6</v>
      </c>
      <c r="J6" s="20" t="inlineStr">
        <is>
          <t>Sprint 26 execution</t>
        </is>
      </c>
    </row>
    <row r="7">
      <c r="A7" s="22" t="n">
        <v>46229</v>
      </c>
      <c r="B7" s="19" t="inlineStr">
        <is>
          <t>Kavya Iyer</t>
        </is>
      </c>
      <c r="C7" s="19" t="n">
        <v>16</v>
      </c>
      <c r="D7" s="19" t="n">
        <v>10</v>
      </c>
      <c r="E7" s="19" t="n">
        <v>0</v>
      </c>
      <c r="F7" s="19" t="n">
        <v>1</v>
      </c>
      <c r="G7" s="19" t="n">
        <v>1</v>
      </c>
      <c r="H7" s="19" t="n">
        <v>1</v>
      </c>
      <c r="I7" s="19" t="n">
        <v>6.5</v>
      </c>
      <c r="J7" s="19" t="inlineStr">
        <is>
          <t>Sprint 26 execution</t>
        </is>
      </c>
    </row>
    <row r="8">
      <c r="A8" s="23" t="n">
        <v>46230</v>
      </c>
      <c r="B8" s="20" t="inlineStr">
        <is>
          <t>Asha Sharma</t>
        </is>
      </c>
      <c r="C8" s="20" t="n">
        <v>18</v>
      </c>
      <c r="D8" s="20" t="n">
        <v>11</v>
      </c>
      <c r="E8" s="20" t="n">
        <v>0</v>
      </c>
      <c r="F8" s="20" t="n">
        <v>0</v>
      </c>
      <c r="G8" s="20" t="n">
        <v>0</v>
      </c>
      <c r="H8" s="20" t="n">
        <v>1</v>
      </c>
      <c r="I8" s="20" t="n">
        <v>7</v>
      </c>
      <c r="J8" s="20" t="inlineStr">
        <is>
          <t>Sprint 26 execution</t>
        </is>
      </c>
    </row>
    <row r="9">
      <c r="A9" s="22" t="n">
        <v>46231</v>
      </c>
      <c r="B9" s="19" t="inlineStr">
        <is>
          <t>Priya Nair</t>
        </is>
      </c>
      <c r="C9" s="19" t="n">
        <v>20</v>
      </c>
      <c r="D9" s="19" t="n">
        <v>12</v>
      </c>
      <c r="E9" s="19" t="n">
        <v>1</v>
      </c>
      <c r="F9" s="19" t="n">
        <v>0</v>
      </c>
      <c r="G9" s="19" t="n">
        <v>1</v>
      </c>
      <c r="H9" s="19" t="n">
        <v>1</v>
      </c>
      <c r="I9" s="19" t="n">
        <v>7.5</v>
      </c>
      <c r="J9" s="19" t="inlineStr">
        <is>
          <t>Sprint 26 execution</t>
        </is>
      </c>
    </row>
    <row r="10">
      <c r="A10" s="28" t="inlineStr">
        <is>
          <t>TOTAL</t>
        </is>
      </c>
      <c r="B10" s="20" t="n"/>
      <c r="C10" s="28">
        <f>SUM(C3:C9)</f>
        <v/>
      </c>
      <c r="D10" s="28">
        <f>SUM(D3:D9)</f>
        <v/>
      </c>
      <c r="E10" s="28">
        <f>SUM(E3:E9)</f>
        <v/>
      </c>
      <c r="F10" s="28">
        <f>SUM(F3:F9)</f>
        <v/>
      </c>
      <c r="G10" s="28">
        <f>SUM(G3:G9)</f>
        <v/>
      </c>
      <c r="H10" s="28">
        <f>SUM(H3:H9)</f>
        <v/>
      </c>
      <c r="I10" s="28">
        <f>SUM(I3:I9)</f>
        <v/>
      </c>
      <c r="J10" s="20" t="n"/>
    </row>
  </sheetData>
  <autoFilter ref="A2:J10"/>
  <mergeCells count="1">
    <mergeCell ref="A1:H1"/>
  </mergeCells>
  <dataValidations count="1">
    <dataValidation sqref="B3:B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6" customWidth="1" min="26" max="26"/>
    <col width="18" customWidth="1" min="27" max="27"/>
    <col width="14" customWidth="1" min="28" max="28"/>
    <col width="14" customWidth="1" min="29" max="29"/>
    <col width="14" customWidth="1" min="30" max="30"/>
    <col width="19" customWidth="1" min="31" max="31"/>
    <col width="14" customWidth="1" min="32" max="32"/>
    <col width="14" customWidth="1" min="33" max="33"/>
  </cols>
  <sheetData>
    <row r="1">
      <c r="A1" s="29" t="inlineStr">
        <is>
          <t>Status</t>
        </is>
      </c>
      <c r="B1" s="29" t="inlineStr">
        <is>
          <t>PassFail</t>
        </is>
      </c>
      <c r="C1" s="29" t="inlineStr">
        <is>
          <t>Priority</t>
        </is>
      </c>
      <c r="D1" s="29" t="inlineStr">
        <is>
          <t>Severity</t>
        </is>
      </c>
      <c r="E1" s="29" t="inlineStr">
        <is>
          <t>Environment</t>
        </is>
      </c>
      <c r="F1" s="29" t="inlineStr">
        <is>
          <t>Browser</t>
        </is>
      </c>
      <c r="G1" s="29" t="inlineStr">
        <is>
          <t>Device</t>
        </is>
      </c>
      <c r="H1" s="29" t="inlineStr">
        <is>
          <t>Platform</t>
        </is>
      </c>
      <c r="I1" s="29" t="inlineStr">
        <is>
          <t>YesNo</t>
        </is>
      </c>
      <c r="J1" s="29" t="inlineStr">
        <is>
          <t>QAStatus</t>
        </is>
      </c>
      <c r="K1" s="29" t="inlineStr">
        <is>
          <t>BugStatus</t>
        </is>
      </c>
      <c r="L1" s="29" t="inlineStr">
        <is>
          <t>Risk</t>
        </is>
      </c>
      <c r="M1" s="29" t="inlineStr">
        <is>
          <t>Criticality</t>
        </is>
      </c>
      <c r="N1" s="29" t="inlineStr">
        <is>
          <t>Automation</t>
        </is>
      </c>
      <c r="O1" s="29" t="inlineStr">
        <is>
          <t>SecurityResult</t>
        </is>
      </c>
      <c r="P1" s="29" t="inlineStr">
        <is>
          <t>ReadyStatus</t>
        </is>
      </c>
      <c r="Q1" s="29" t="inlineStr">
        <is>
          <t>Decision</t>
        </is>
      </c>
      <c r="R1" s="29" t="inlineStr">
        <is>
          <t>Approval</t>
        </is>
      </c>
      <c r="S1" s="29" t="inlineStr">
        <is>
          <t>PerfRating</t>
        </is>
      </c>
      <c r="T1" s="29" t="inlineStr">
        <is>
          <t>HttpMethod</t>
        </is>
      </c>
      <c r="U1" s="29" t="inlineStr">
        <is>
          <t>StatusCode</t>
        </is>
      </c>
      <c r="V1" s="29" t="inlineStr">
        <is>
          <t>AuthType</t>
        </is>
      </c>
      <c r="W1" s="29" t="inlineStr">
        <is>
          <t>Sprint</t>
        </is>
      </c>
      <c r="X1" s="29" t="inlineStr">
        <is>
          <t>Release</t>
        </is>
      </c>
      <c r="Y1" s="29" t="inlineStr">
        <is>
          <t>RootCause</t>
        </is>
      </c>
      <c r="Z1" s="29" t="inlineStr">
        <is>
          <t>Modules</t>
        </is>
      </c>
      <c r="AA1" s="29" t="inlineStr">
        <is>
          <t>Portals</t>
        </is>
      </c>
      <c r="AB1" s="29" t="inlineStr">
        <is>
          <t>Roles</t>
        </is>
      </c>
      <c r="AC1" s="29" t="inlineStr">
        <is>
          <t>Testers</t>
        </is>
      </c>
      <c r="AD1" s="29" t="inlineStr">
        <is>
          <t>Owners</t>
        </is>
      </c>
      <c r="AE1" s="29" t="inlineStr">
        <is>
          <t>ImplStatus</t>
        </is>
      </c>
      <c r="AF1" s="29" t="inlineStr">
        <is>
          <t>Coverage</t>
        </is>
      </c>
      <c r="AG1" s="29" t="inlineStr">
        <is>
          <t>ModuleStatus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Local</t>
        </is>
      </c>
      <c r="F2" t="inlineStr">
        <is>
          <t>Chrome</t>
        </is>
      </c>
      <c r="G2" t="inlineStr">
        <is>
          <t>Desktop</t>
        </is>
      </c>
      <c r="H2" t="inlineStr">
        <is>
          <t>Web</t>
        </is>
      </c>
      <c r="I2" t="inlineStr">
        <is>
          <t>Yes</t>
        </is>
      </c>
      <c r="J2" t="inlineStr">
        <is>
          <t>Not Tested</t>
        </is>
      </c>
      <c r="K2" t="inlineStr">
        <is>
          <t>New</t>
        </is>
      </c>
      <c r="L2" t="inlineStr">
        <is>
          <t>Critical</t>
        </is>
      </c>
      <c r="M2" t="inlineStr">
        <is>
          <t>Critical</t>
        </is>
      </c>
      <c r="N2" t="inlineStr">
        <is>
          <t>Manual</t>
        </is>
      </c>
      <c r="O2" t="inlineStr">
        <is>
          <t>Pass</t>
        </is>
      </c>
      <c r="P2" t="inlineStr">
        <is>
          <t>Ready</t>
        </is>
      </c>
      <c r="Q2" t="inlineStr">
        <is>
          <t>Go</t>
        </is>
      </c>
      <c r="R2" t="inlineStr">
        <is>
          <t>Approved</t>
        </is>
      </c>
      <c r="S2" t="inlineStr">
        <is>
          <t>Excellent</t>
        </is>
      </c>
      <c r="T2" t="inlineStr">
        <is>
          <t>GET</t>
        </is>
      </c>
      <c r="U2" t="inlineStr">
        <is>
          <t>200</t>
        </is>
      </c>
      <c r="V2" t="inlineStr">
        <is>
          <t>None</t>
        </is>
      </c>
      <c r="W2" t="inlineStr">
        <is>
          <t>Sprint 24</t>
        </is>
      </c>
      <c r="X2" t="inlineStr">
        <is>
          <t>1.0.0-beta</t>
        </is>
      </c>
      <c r="Y2" t="inlineStr">
        <is>
          <t>Logic Bug</t>
        </is>
      </c>
      <c r="Z2" t="inlineStr">
        <is>
          <t>Auth &amp; Onboarding</t>
        </is>
      </c>
      <c r="AA2" t="inlineStr">
        <is>
          <t>Marketing Portal</t>
        </is>
      </c>
      <c r="AB2" t="inlineStr">
        <is>
          <t>Guest</t>
        </is>
      </c>
      <c r="AC2" t="inlineStr">
        <is>
          <t>Kavya Iyer</t>
        </is>
      </c>
      <c r="AD2" t="inlineStr">
        <is>
          <t>Auth Lead</t>
        </is>
      </c>
      <c r="AE2" t="inlineStr">
        <is>
          <t>Fully Implemented</t>
        </is>
      </c>
      <c r="AF2" t="inlineStr">
        <is>
          <t>Yes</t>
        </is>
      </c>
      <c r="AG2" t="inlineStr">
        <is>
          <t>Not Started</t>
        </is>
      </c>
    </row>
    <row r="3">
      <c r="A3" t="inlineStr">
        <is>
          <t>In Progress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Staging</t>
        </is>
      </c>
      <c r="F3" t="inlineStr">
        <is>
          <t>Edge</t>
        </is>
      </c>
      <c r="G3" t="inlineStr">
        <is>
          <t>Laptop</t>
        </is>
      </c>
      <c r="H3" t="inlineStr">
        <is>
          <t>Windows</t>
        </is>
      </c>
      <c r="I3" t="inlineStr">
        <is>
          <t>No</t>
        </is>
      </c>
      <c r="J3" t="inlineStr">
        <is>
          <t>In Testing</t>
        </is>
      </c>
      <c r="K3" t="inlineStr">
        <is>
          <t>Open</t>
        </is>
      </c>
      <c r="L3" t="inlineStr">
        <is>
          <t>High</t>
        </is>
      </c>
      <c r="M3" t="inlineStr">
        <is>
          <t>High</t>
        </is>
      </c>
      <c r="N3" t="inlineStr">
        <is>
          <t>Automated</t>
        </is>
      </c>
      <c r="O3" t="inlineStr">
        <is>
          <t>Fail</t>
        </is>
      </c>
      <c r="P3" t="inlineStr">
        <is>
          <t>Not Ready</t>
        </is>
      </c>
      <c r="Q3" t="inlineStr">
        <is>
          <t>No-Go</t>
        </is>
      </c>
      <c r="R3" t="inlineStr">
        <is>
          <t>Pending</t>
        </is>
      </c>
      <c r="S3" t="inlineStr">
        <is>
          <t>Good</t>
        </is>
      </c>
      <c r="T3" t="inlineStr">
        <is>
          <t>POST</t>
        </is>
      </c>
      <c r="U3" t="inlineStr">
        <is>
          <t>201</t>
        </is>
      </c>
      <c r="V3" t="inlineStr">
        <is>
          <t>Bearer JWT</t>
        </is>
      </c>
      <c r="W3" t="inlineStr">
        <is>
          <t>Sprint 25</t>
        </is>
      </c>
      <c r="X3" t="inlineStr">
        <is>
          <t>1.0.0</t>
        </is>
      </c>
      <c r="Y3" t="inlineStr">
        <is>
          <t>Missing Validation</t>
        </is>
      </c>
      <c r="Z3" t="inlineStr">
        <is>
          <t>Dashboard</t>
        </is>
      </c>
      <c r="AA3" t="inlineStr">
        <is>
          <t>Auth Portal</t>
        </is>
      </c>
      <c r="AB3" t="inlineStr">
        <is>
          <t>Free User</t>
        </is>
      </c>
      <c r="AC3" t="inlineStr">
        <is>
          <t>Asha Sharma</t>
        </is>
      </c>
      <c r="AD3" t="inlineStr">
        <is>
          <t>Product</t>
        </is>
      </c>
      <c r="AE3" t="inlineStr">
        <is>
          <t>Partial</t>
        </is>
      </c>
      <c r="AF3" t="inlineStr">
        <is>
          <t>No</t>
        </is>
      </c>
      <c r="AG3" t="inlineStr">
        <is>
          <t>In Progress</t>
        </is>
      </c>
    </row>
    <row r="4">
      <c r="A4" t="inlineStr">
        <is>
          <t>Completed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Production</t>
        </is>
      </c>
      <c r="F4" t="inlineStr">
        <is>
          <t>Firefox</t>
        </is>
      </c>
      <c r="G4" t="inlineStr">
        <is>
          <t>iPhone</t>
        </is>
      </c>
      <c r="H4" t="inlineStr">
        <is>
          <t>macOS</t>
        </is>
      </c>
      <c r="I4" t="inlineStr">
        <is>
          <t>Partial</t>
        </is>
      </c>
      <c r="J4" t="inlineStr">
        <is>
          <t>Passed</t>
        </is>
      </c>
      <c r="K4" t="inlineStr">
        <is>
          <t>In Progress</t>
        </is>
      </c>
      <c r="L4" t="inlineStr">
        <is>
          <t>Medium</t>
        </is>
      </c>
      <c r="M4" t="inlineStr">
        <is>
          <t>Medium</t>
        </is>
      </c>
      <c r="N4" t="inlineStr">
        <is>
          <t>Candidate</t>
        </is>
      </c>
      <c r="O4" t="inlineStr">
        <is>
          <t>Partial</t>
        </is>
      </c>
      <c r="P4" t="inlineStr">
        <is>
          <t>Conditional</t>
        </is>
      </c>
      <c r="Q4" t="inlineStr">
        <is>
          <t>Conditional Go</t>
        </is>
      </c>
      <c r="R4" t="inlineStr">
        <is>
          <t>Rejected</t>
        </is>
      </c>
      <c r="S4" t="inlineStr">
        <is>
          <t>Acceptable</t>
        </is>
      </c>
      <c r="T4" t="inlineStr">
        <is>
          <t>PUT</t>
        </is>
      </c>
      <c r="U4" t="inlineStr">
        <is>
          <t>204</t>
        </is>
      </c>
      <c r="V4" t="inlineStr">
        <is>
          <t>Anon Key</t>
        </is>
      </c>
      <c r="W4" t="inlineStr">
        <is>
          <t>Sprint 26</t>
        </is>
      </c>
      <c r="X4" t="inlineStr">
        <is>
          <t>1.0.1</t>
        </is>
      </c>
      <c r="Y4" t="inlineStr">
        <is>
          <t>Config/Env</t>
        </is>
      </c>
      <c r="Z4" t="inlineStr">
        <is>
          <t>Live Practice Coach</t>
        </is>
      </c>
      <c r="AA4" t="inlineStr">
        <is>
          <t>Candidate App</t>
        </is>
      </c>
      <c r="AB4" t="inlineStr">
        <is>
          <t>Pro User</t>
        </is>
      </c>
      <c r="AC4" t="inlineStr">
        <is>
          <t>Rohan Mehta</t>
        </is>
      </c>
      <c r="AD4" t="inlineStr">
        <is>
          <t>Live Coach</t>
        </is>
      </c>
      <c r="AE4" t="inlineStr">
        <is>
          <t>Stub</t>
        </is>
      </c>
      <c r="AF4" t="inlineStr">
        <is>
          <t>Partial</t>
        </is>
      </c>
      <c r="AG4" t="inlineStr">
        <is>
          <t>Completed</t>
        </is>
      </c>
    </row>
    <row r="5">
      <c r="A5" t="inlineStr">
        <is>
          <t>Blocked</t>
        </is>
      </c>
      <c r="B5" t="inlineStr">
        <is>
          <t>Not Run</t>
        </is>
      </c>
      <c r="C5" t="inlineStr">
        <is>
          <t>Low</t>
        </is>
      </c>
      <c r="D5" t="inlineStr">
        <is>
          <t>Low</t>
        </is>
      </c>
      <c r="E5" t="inlineStr">
        <is>
          <t>CI</t>
        </is>
      </c>
      <c r="F5" t="inlineStr">
        <is>
          <t>Safari</t>
        </is>
      </c>
      <c r="G5" t="inlineStr">
        <is>
          <t>Android Phone</t>
        </is>
      </c>
      <c r="H5" t="inlineStr">
        <is>
          <t>Linux</t>
        </is>
      </c>
      <c r="I5" t="inlineStr">
        <is>
          <t>N/A</t>
        </is>
      </c>
      <c r="J5" t="inlineStr">
        <is>
          <t>Failed</t>
        </is>
      </c>
      <c r="K5" t="inlineStr">
        <is>
          <t>Fixed</t>
        </is>
      </c>
      <c r="L5" t="inlineStr">
        <is>
          <t>Low</t>
        </is>
      </c>
      <c r="M5" t="inlineStr">
        <is>
          <t>Low</t>
        </is>
      </c>
      <c r="N5" t="inlineStr">
        <is>
          <t>Partial</t>
        </is>
      </c>
      <c r="O5" t="inlineStr">
        <is>
          <t>Not Tested</t>
        </is>
      </c>
      <c r="P5" t="inlineStr">
        <is>
          <t>Blocked</t>
        </is>
      </c>
      <c r="R5" t="inlineStr">
        <is>
          <t>Deferred</t>
        </is>
      </c>
      <c r="S5" t="inlineStr">
        <is>
          <t>Poor</t>
        </is>
      </c>
      <c r="T5" t="inlineStr">
        <is>
          <t>PATCH</t>
        </is>
      </c>
      <c r="U5" t="inlineStr">
        <is>
          <t>400</t>
        </is>
      </c>
      <c r="V5" t="inlineStr">
        <is>
          <t>Service Role</t>
        </is>
      </c>
      <c r="W5" t="inlineStr">
        <is>
          <t>Sprint 27</t>
        </is>
      </c>
      <c r="X5" t="inlineStr">
        <is>
          <t>1.1.0</t>
        </is>
      </c>
      <c r="Y5" t="inlineStr">
        <is>
          <t>Race Condition</t>
        </is>
      </c>
      <c r="Z5" t="inlineStr">
        <is>
          <t>Mock Interview</t>
        </is>
      </c>
      <c r="AA5" t="inlineStr">
        <is>
          <t>Admin Portal</t>
        </is>
      </c>
      <c r="AB5" t="inlineStr">
        <is>
          <t>Max User</t>
        </is>
      </c>
      <c r="AC5" t="inlineStr">
        <is>
          <t>Priya Nair</t>
        </is>
      </c>
      <c r="AD5" t="inlineStr">
        <is>
          <t>Sessions</t>
        </is>
      </c>
      <c r="AE5" t="inlineStr">
        <is>
          <t>Dead Code</t>
        </is>
      </c>
      <c r="AF5" t="inlineStr">
        <is>
          <t>N/A</t>
        </is>
      </c>
      <c r="AG5" t="inlineStr">
        <is>
          <t>Blocked</t>
        </is>
      </c>
    </row>
    <row r="6">
      <c r="A6" t="inlineStr">
        <is>
          <t>Deferred</t>
        </is>
      </c>
      <c r="B6" t="inlineStr">
        <is>
          <t>N/A</t>
        </is>
      </c>
      <c r="E6" t="inlineStr">
        <is>
          <t>Electron Dev</t>
        </is>
      </c>
      <c r="F6" t="inlineStr">
        <is>
          <t>Electron</t>
        </is>
      </c>
      <c r="G6" t="inlineStr">
        <is>
          <t>iPad</t>
        </is>
      </c>
      <c r="H6" t="inlineStr">
        <is>
          <t>iOS</t>
        </is>
      </c>
      <c r="J6" t="inlineStr">
        <is>
          <t>Blocked</t>
        </is>
      </c>
      <c r="K6" t="inlineStr">
        <is>
          <t>Retest</t>
        </is>
      </c>
      <c r="O6" t="inlineStr">
        <is>
          <t>N/A</t>
        </is>
      </c>
      <c r="S6" t="inlineStr">
        <is>
          <t>Critical</t>
        </is>
      </c>
      <c r="T6" t="inlineStr">
        <is>
          <t>DELETE</t>
        </is>
      </c>
      <c r="U6" t="inlineStr">
        <is>
          <t>401</t>
        </is>
      </c>
      <c r="V6" t="inlineStr">
        <is>
          <t>Webhook HMAC</t>
        </is>
      </c>
      <c r="W6" t="inlineStr">
        <is>
          <t>Hotfix</t>
        </is>
      </c>
      <c r="Y6" t="inlineStr">
        <is>
          <t>UI Regression</t>
        </is>
      </c>
      <c r="Z6" t="inlineStr">
        <is>
          <t>Sessions &amp; Debriefs</t>
        </is>
      </c>
      <c r="AA6" t="inlineStr">
        <is>
          <t>Electron Overlay</t>
        </is>
      </c>
      <c r="AB6" t="inlineStr">
        <is>
          <t>Admin</t>
        </is>
      </c>
      <c r="AC6" t="inlineStr">
        <is>
          <t>Dev Patel</t>
        </is>
      </c>
      <c r="AD6" t="inlineStr">
        <is>
          <t>Analytics</t>
        </is>
      </c>
      <c r="AE6" t="inlineStr">
        <is>
          <t>Not Built</t>
        </is>
      </c>
      <c r="AG6" t="inlineStr">
        <is>
          <t>Deprecated</t>
        </is>
      </c>
    </row>
    <row r="7">
      <c r="A7" t="inlineStr">
        <is>
          <t>Ready</t>
        </is>
      </c>
      <c r="B7" t="inlineStr">
        <is>
          <t>In Progress</t>
        </is>
      </c>
      <c r="E7" t="inlineStr">
        <is>
          <t>Electron Packaged</t>
        </is>
      </c>
      <c r="F7" t="inlineStr">
        <is>
          <t>N/A</t>
        </is>
      </c>
      <c r="G7" t="inlineStr">
        <is>
          <t>Android Tablet</t>
        </is>
      </c>
      <c r="H7" t="inlineStr">
        <is>
          <t>Android</t>
        </is>
      </c>
      <c r="J7" t="inlineStr">
        <is>
          <t>Deferred</t>
        </is>
      </c>
      <c r="K7" t="inlineStr">
        <is>
          <t>Closed</t>
        </is>
      </c>
      <c r="T7" t="inlineStr">
        <is>
          <t>OPTIONS</t>
        </is>
      </c>
      <c r="U7" t="inlineStr">
        <is>
          <t>402</t>
        </is>
      </c>
      <c r="V7" t="inlineStr">
        <is>
          <t>API Key Header</t>
        </is>
      </c>
      <c r="Y7" t="inlineStr">
        <is>
          <t>API Contract</t>
        </is>
      </c>
      <c r="Z7" t="inlineStr">
        <is>
          <t>Analytics &amp; Usage</t>
        </is>
      </c>
      <c r="AA7" t="inlineStr">
        <is>
          <t>All Portals</t>
        </is>
      </c>
      <c r="AD7" t="inlineStr">
        <is>
          <t>Prep</t>
        </is>
      </c>
    </row>
    <row r="8">
      <c r="A8" t="inlineStr">
        <is>
          <t>Complete</t>
        </is>
      </c>
      <c r="K8" t="inlineStr">
        <is>
          <t>Won't Fix</t>
        </is>
      </c>
      <c r="U8" t="inlineStr">
        <is>
          <t>403</t>
        </is>
      </c>
      <c r="Y8" t="inlineStr">
        <is>
          <t>DB/RLS</t>
        </is>
      </c>
      <c r="Z8" t="inlineStr">
        <is>
          <t>Prep Lab</t>
        </is>
      </c>
      <c r="AD8" t="inlineStr">
        <is>
          <t>Docs</t>
        </is>
      </c>
    </row>
    <row r="9">
      <c r="A9" t="inlineStr">
        <is>
          <t>Active</t>
        </is>
      </c>
      <c r="K9" t="inlineStr">
        <is>
          <t>Duplicate</t>
        </is>
      </c>
      <c r="U9" t="inlineStr">
        <is>
          <t>404</t>
        </is>
      </c>
      <c r="Y9" t="inlineStr">
        <is>
          <t>Third-party</t>
        </is>
      </c>
      <c r="Z9" t="inlineStr">
        <is>
          <t>Documents &amp; Resumes</t>
        </is>
      </c>
      <c r="AD9" t="inlineStr">
        <is>
          <t>Scheduling</t>
        </is>
      </c>
    </row>
    <row r="10">
      <c r="U10" t="inlineStr">
        <is>
          <t>409</t>
        </is>
      </c>
      <c r="Y10" t="inlineStr">
        <is>
          <t>Design Gap</t>
        </is>
      </c>
      <c r="Z10" t="inlineStr">
        <is>
          <t>Answer Bank</t>
        </is>
      </c>
      <c r="AD10" t="inlineStr">
        <is>
          <t>Growth</t>
        </is>
      </c>
    </row>
    <row r="11">
      <c r="U11" t="inlineStr">
        <is>
          <t>429</t>
        </is>
      </c>
      <c r="Y11" t="inlineStr">
        <is>
          <t>Unknown</t>
        </is>
      </c>
      <c r="Z11" t="inlineStr">
        <is>
          <t>Interviews &amp; Calendar</t>
        </is>
      </c>
      <c r="AD11" t="inlineStr">
        <is>
          <t>GovExams</t>
        </is>
      </c>
    </row>
    <row r="12">
      <c r="U12" t="inlineStr">
        <is>
          <t>500</t>
        </is>
      </c>
      <c r="Z12" t="inlineStr">
        <is>
          <t>Company Research</t>
        </is>
      </c>
      <c r="AD12" t="inlineStr">
        <is>
          <t>Platform</t>
        </is>
      </c>
    </row>
    <row r="13">
      <c r="U13" t="inlineStr">
        <is>
          <t>501</t>
        </is>
      </c>
      <c r="Z13" t="inlineStr">
        <is>
          <t>Notifications &amp; Profile</t>
        </is>
      </c>
      <c r="AD13" t="inlineStr">
        <is>
          <t>Admin</t>
        </is>
      </c>
    </row>
    <row r="14">
      <c r="Z14" t="inlineStr">
        <is>
          <t>Referrals &amp; Guide</t>
        </is>
      </c>
      <c r="AD14" t="inlineStr">
        <is>
          <t>Billing</t>
        </is>
      </c>
    </row>
    <row r="15">
      <c r="Z15" t="inlineStr">
        <is>
          <t>Gov Exam Mock Tests</t>
        </is>
      </c>
      <c r="AD15" t="inlineStr">
        <is>
          <t>Desktop</t>
        </is>
      </c>
    </row>
    <row r="16">
      <c r="Z16" t="inlineStr">
        <is>
          <t>Settings</t>
        </is>
      </c>
      <c r="AD16" t="inlineStr">
        <is>
          <t>QA Lead</t>
        </is>
      </c>
    </row>
    <row r="17">
      <c r="Z17" t="inlineStr">
        <is>
          <t>Admin Portal</t>
        </is>
      </c>
      <c r="AD17" t="inlineStr">
        <is>
          <t>Dev Lead</t>
        </is>
      </c>
    </row>
    <row r="18">
      <c r="Z18" t="inlineStr">
        <is>
          <t>Marketing Site</t>
        </is>
      </c>
    </row>
    <row r="19">
      <c r="Z19" t="inlineStr">
        <is>
          <t>Billing &amp; Credits</t>
        </is>
      </c>
    </row>
    <row r="20">
      <c r="Z20" t="inlineStr">
        <is>
          <t>Electron Desktop Overlay</t>
        </is>
      </c>
    </row>
    <row r="21">
      <c r="Z21" t="inlineStr">
        <is>
          <t>Security &amp;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2026-07-28T14:54:05Z</dcterms:created>
  <dcterms:modified xmlns:dcterms="http://purl.org/dc/terms/" xmlns:xsi="http://www.w3.org/2001/XMLSchema-instance" xsi:type="dcterms:W3CDTF">2026-07-28T14:54:05Z</dcterms:modified>
</cp:coreProperties>
</file>