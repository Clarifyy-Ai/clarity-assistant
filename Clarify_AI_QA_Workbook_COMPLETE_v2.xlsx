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ad Me" sheetId="1" state="visible" r:id="rId1"/>
    <sheet xmlns:r="http://schemas.openxmlformats.org/officeDocument/2006/relationships" name="NAV Hub" sheetId="2" state="visible" r:id="rId2"/>
    <sheet xmlns:r="http://schemas.openxmlformats.org/officeDocument/2006/relationships" name="01 Dashboard" sheetId="3" state="visible" r:id="rId3"/>
    <sheet xmlns:r="http://schemas.openxmlformats.org/officeDocument/2006/relationships" name="QA Tasks" sheetId="4" state="visible" r:id="rId4"/>
    <sheet xmlns:r="http://schemas.openxmlformats.org/officeDocument/2006/relationships" name="QA Team" sheetId="5" state="visible" r:id="rId5"/>
    <sheet xmlns:r="http://schemas.openxmlformats.org/officeDocument/2006/relationships" name="Dev Team" sheetId="6" state="visible" r:id="rId6"/>
    <sheet xmlns:r="http://schemas.openxmlformats.org/officeDocument/2006/relationships" name="Dev Tasks" sheetId="7" state="visible" r:id="rId7"/>
    <sheet xmlns:r="http://schemas.openxmlformats.org/officeDocument/2006/relationships" name="02 Module Master" sheetId="8" state="visible" r:id="rId8"/>
    <sheet xmlns:r="http://schemas.openxmlformats.org/officeDocument/2006/relationships" name="03 Feature Inventory" sheetId="9" state="visible" r:id="rId9"/>
    <sheet xmlns:r="http://schemas.openxmlformats.org/officeDocument/2006/relationships" name="04 Test Case Repository" sheetId="10" state="visible" r:id="rId10"/>
    <sheet xmlns:r="http://schemas.openxmlformats.org/officeDocument/2006/relationships" name="05 E2E User Flows" sheetId="11" state="visible" r:id="rId11"/>
    <sheet xmlns:r="http://schemas.openxmlformats.org/officeDocument/2006/relationships" name="06 Bug Tracker" sheetId="12" state="visible" r:id="rId12"/>
    <sheet xmlns:r="http://schemas.openxmlformats.org/officeDocument/2006/relationships" name="07 UI-UX Testing" sheetId="13" state="visible" r:id="rId13"/>
    <sheet xmlns:r="http://schemas.openxmlformats.org/officeDocument/2006/relationships" name="08 Mobile Responsiveness" sheetId="14" state="visible" r:id="rId14"/>
    <sheet xmlns:r="http://schemas.openxmlformats.org/officeDocument/2006/relationships" name="09 API Testing" sheetId="15" state="visible" r:id="rId15"/>
    <sheet xmlns:r="http://schemas.openxmlformats.org/officeDocument/2006/relationships" name="10 Database Validation" sheetId="16" state="visible" r:id="rId16"/>
    <sheet xmlns:r="http://schemas.openxmlformats.org/officeDocument/2006/relationships" name="11 Authentication Testing" sheetId="17" state="visible" r:id="rId17"/>
    <sheet xmlns:r="http://schemas.openxmlformats.org/officeDocument/2006/relationships" name="12 Security Testing" sheetId="18" state="visible" r:id="rId18"/>
    <sheet xmlns:r="http://schemas.openxmlformats.org/officeDocument/2006/relationships" name="13 Performance Testing" sheetId="19" state="visible" r:id="rId19"/>
    <sheet xmlns:r="http://schemas.openxmlformats.org/officeDocument/2006/relationships" name="14 Live Coaching Testing" sheetId="20" state="visible" r:id="rId20"/>
    <sheet xmlns:r="http://schemas.openxmlformats.org/officeDocument/2006/relationships" name="15 Gov Exam Mock Testing" sheetId="21" state="visible" r:id="rId21"/>
    <sheet xmlns:r="http://schemas.openxmlformats.org/officeDocument/2006/relationships" name="16 Billing Credits Testing" sheetId="22" state="visible" r:id="rId22"/>
    <sheet xmlns:r="http://schemas.openxmlformats.org/officeDocument/2006/relationships" name="17 Role Based Testing" sheetId="23" state="visible" r:id="rId23"/>
    <sheet xmlns:r="http://schemas.openxmlformats.org/officeDocument/2006/relationships" name="18 Regression Testing" sheetId="24" state="visible" r:id="rId24"/>
    <sheet xmlns:r="http://schemas.openxmlformats.org/officeDocument/2006/relationships" name="19 Production Readiness" sheetId="25" state="visible" r:id="rId25"/>
    <sheet xmlns:r="http://schemas.openxmlformats.org/officeDocument/2006/relationships" name="20 Release Sign-Off" sheetId="26" state="visible" r:id="rId26"/>
    <sheet xmlns:r="http://schemas.openxmlformats.org/officeDocument/2006/relationships" name="21 Test Credentials" sheetId="27" state="visible" r:id="rId27"/>
    <sheet xmlns:r="http://schemas.openxmlformats.org/officeDocument/2006/relationships" name="22 Environments" sheetId="28" state="visible" r:id="rId28"/>
    <sheet xmlns:r="http://schemas.openxmlformats.org/officeDocument/2006/relationships" name="23 Module Playbooks" sheetId="29" state="visible" r:id="rId29"/>
    <sheet xmlns:r="http://schemas.openxmlformats.org/officeDocument/2006/relationships" name="24 Launch Status" sheetId="30" state="visible" r:id="rId30"/>
    <sheet xmlns:r="http://schemas.openxmlformats.org/officeDocument/2006/relationships" name="25 Smoke Pack" sheetId="31" state="visible" r:id="rId31"/>
    <sheet xmlns:r="http://schemas.openxmlformats.org/officeDocument/2006/relationships" name="Daily Log" sheetId="32" state="visible" r:id="rId32"/>
    <sheet xmlns:r="http://schemas.openxmlformats.org/officeDocument/2006/relationships" name="Lists" sheetId="33" state="visible" r:id="rId33"/>
  </sheets>
  <definedNames>
    <definedName name="_xlnm._FilterDatabase" localSheetId="3" hidden="1">'QA Tasks'!$A$2:$N$33</definedName>
    <definedName name="_xlnm._FilterDatabase" localSheetId="4" hidden="1">'QA Team'!$A$2:$K$5</definedName>
    <definedName name="_xlnm._FilterDatabase" localSheetId="5" hidden="1">'Dev Team'!$A$2:$K$8</definedName>
    <definedName name="_xlnm._FilterDatabase" localSheetId="6" hidden="1">'Dev Tasks'!$A$2:$O$152</definedName>
    <definedName name="_xlnm._FilterDatabase" localSheetId="7" hidden="1">'02 Module Master'!$A$2:$P$23</definedName>
    <definedName name="_xlnm._FilterDatabase" localSheetId="8" hidden="1">'03 Feature Inventory'!$A$2:$Y$117</definedName>
    <definedName name="_xlnm._FilterDatabase" localSheetId="9" hidden="1">'04 Test Case Repository'!$A$2:$AH$15</definedName>
    <definedName name="_xlnm._FilterDatabase" localSheetId="10" hidden="1">'05 E2E User Flows'!$A$2:$O$9</definedName>
    <definedName name="_xlnm._FilterDatabase" localSheetId="11" hidden="1">'06 Bug Tracker'!$A$2:$X$60</definedName>
    <definedName name="_xlnm._FilterDatabase" localSheetId="12" hidden="1">'07 UI-UX Testing'!$A$2:$M$7</definedName>
    <definedName name="_xlnm._FilterDatabase" localSheetId="13" hidden="1">'08 Mobile Responsiveness'!$A$2:$L$7</definedName>
    <definedName name="_xlnm._FilterDatabase" localSheetId="14" hidden="1">'09 API Testing'!$A$2:$M$8</definedName>
    <definedName name="_xlnm._FilterDatabase" localSheetId="15" hidden="1">'10 Database Validation'!$A$2:$M$8</definedName>
    <definedName name="_xlnm._FilterDatabase" localSheetId="16" hidden="1">'11 Authentication Testing'!$A$2:$N$7</definedName>
    <definedName name="_xlnm._FilterDatabase" localSheetId="17" hidden="1">'12 Security Testing'!$A$2:$P$8</definedName>
    <definedName name="_xlnm._FilterDatabase" localSheetId="18" hidden="1">'13 Performance Testing'!$A$2:$J$7</definedName>
    <definedName name="_xlnm._FilterDatabase" localSheetId="19" hidden="1">'14 Live Coaching Testing'!$A$2:$O$7</definedName>
    <definedName name="_xlnm._FilterDatabase" localSheetId="20" hidden="1">'15 Gov Exam Mock Testing'!$A$2:$P$7</definedName>
    <definedName name="_xlnm._FilterDatabase" localSheetId="21" hidden="1">'16 Billing Credits Testing'!$A$2:$R$8</definedName>
    <definedName name="_xlnm._FilterDatabase" localSheetId="22" hidden="1">'17 Role Based Testing'!$A$2:$J$11</definedName>
    <definedName name="_xlnm._FilterDatabase" localSheetId="23" hidden="1">'18 Regression Testing'!$A$2:$K$9</definedName>
    <definedName name="_xlnm._FilterDatabase" localSheetId="24" hidden="1">'19 Production Readiness'!$A$2:$T$10</definedName>
    <definedName name="_xlnm._FilterDatabase" localSheetId="25" hidden="1">'20 Release Sign-Off'!$A$2:$M$5</definedName>
    <definedName name="_xlnm._FilterDatabase" localSheetId="26" hidden="1">'21 Test Credentials'!$A$2:$H$8</definedName>
    <definedName name="_xlnm._FilterDatabase" localSheetId="27" hidden="1">'22 Environments'!$A$2:$F$5</definedName>
    <definedName name="_xlnm._FilterDatabase" localSheetId="28" hidden="1">'23 Module Playbooks'!$A$2:$H$22</definedName>
    <definedName name="_xlnm._FilterDatabase" localSheetId="29" hidden="1">'24 Launch Status'!$A$2:$C$8</definedName>
    <definedName name="_xlnm._FilterDatabase" localSheetId="30" hidden="1">'25 Smoke Pack'!$A$2:$H$22</definedName>
    <definedName name="_xlnm._FilterDatabase" localSheetId="31" hidden="1">'Daily Log'!$A$2:$J$10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8"/>
    </font>
    <font>
      <b val="1"/>
    </font>
    <font>
      <b val="1"/>
      <color rgb="00FFFFFF"/>
    </font>
    <font>
      <name val="Calibri"/>
      <color rgb="000F766E"/>
      <sz val="10"/>
      <u val="single"/>
    </font>
    <font>
      <name val="Calibri"/>
      <b val="1"/>
      <color rgb="00FFFFFF"/>
      <sz val="9"/>
    </font>
    <font>
      <name val="Calibri"/>
      <i val="1"/>
      <color rgb="0064748B"/>
      <sz val="10"/>
    </font>
    <font>
      <name val="Calibri"/>
      <b val="1"/>
      <color rgb="000F766E"/>
      <sz val="12"/>
    </font>
    <font>
      <name val="Calibri"/>
      <color rgb="00334155"/>
      <sz val="9"/>
    </font>
    <font>
      <name val="Calibri"/>
      <b val="1"/>
      <sz val="14"/>
    </font>
    <font>
      <name val="Calibri"/>
      <b val="1"/>
      <color rgb="00FFFFFF"/>
      <sz val="16"/>
    </font>
    <font>
      <name val="Consolas"/>
      <color rgb="000F766E"/>
      <sz val="12"/>
    </font>
  </fonts>
  <fills count="1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86EFAC"/>
      </patternFill>
    </fill>
    <fill>
      <patternFill patternType="solid">
        <fgColor rgb="00FCA5A5"/>
      </patternFill>
    </fill>
    <fill>
      <patternFill patternType="solid">
        <fgColor rgb="00FDE047"/>
      </patternFill>
    </fill>
    <fill>
      <patternFill patternType="solid">
        <fgColor rgb="00CBD5E1"/>
      </patternFill>
    </fill>
    <fill>
      <patternFill patternType="solid">
        <fgColor rgb="0093C5FD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4" borderId="0" pivotButton="0" quotePrefix="0" xfId="0"/>
    <xf numFmtId="0" fontId="8" fillId="0" borderId="0" pivotButton="0" quotePrefix="0" xfId="0"/>
    <xf numFmtId="0" fontId="9" fillId="10" borderId="1" pivotButton="0" quotePrefix="0" xfId="0"/>
    <xf numFmtId="0" fontId="11" fillId="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2" fillId="0" borderId="1" pivotButton="0" quotePrefix="0" xfId="0"/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11" fillId="4" borderId="1" applyAlignment="1" pivotButton="0" quotePrefix="0" xfId="0">
      <alignment horizontal="center" vertical="center" wrapText="1"/>
    </xf>
    <xf numFmtId="9" fontId="0" fillId="0" borderId="0" pivotButton="0" quotePrefix="0" xfId="0"/>
    <xf numFmtId="166" fontId="11" fillId="4" borderId="1" applyAlignment="1" pivotButton="0" quotePrefix="0" xfId="0">
      <alignment horizontal="center" vertical="center" wrapText="1"/>
    </xf>
    <xf numFmtId="0" fontId="1" fillId="2" borderId="1" applyAlignment="1" applyProtection="1" pivotButton="0" quotePrefix="0" xfId="0">
      <alignment vertical="top" wrapText="1"/>
      <protection locked="0" hidden="0"/>
    </xf>
    <xf numFmtId="0" fontId="0" fillId="0" borderId="1" applyAlignment="1" applyProtection="1" pivotButton="0" quotePrefix="0" xfId="0">
      <alignment vertical="top" wrapText="1"/>
      <protection locked="0" hidden="0"/>
    </xf>
    <xf numFmtId="164" fontId="0" fillId="0" borderId="1" applyAlignment="1" applyProtection="1" pivotButton="0" quotePrefix="0" xfId="0">
      <alignment vertical="top" wrapText="1"/>
      <protection locked="0" hidden="0"/>
    </xf>
    <xf numFmtId="0" fontId="0" fillId="3" borderId="1" applyAlignment="1" applyProtection="1" pivotButton="0" quotePrefix="0" xfId="0">
      <alignment vertical="top" wrapText="1"/>
      <protection locked="0" hidden="0"/>
    </xf>
    <xf numFmtId="164" fontId="0" fillId="3" borderId="1" applyAlignment="1" applyProtection="1" pivotButton="0" quotePrefix="0" xfId="0">
      <alignment vertical="top" wrapText="1"/>
      <protection locked="0" hidden="0"/>
    </xf>
    <xf numFmtId="0" fontId="4" fillId="4" borderId="1" applyAlignment="1" applyProtection="1" pivotButton="0" quotePrefix="0" xfId="0">
      <alignment vertical="top" wrapText="1"/>
      <protection locked="0" hidden="0"/>
    </xf>
    <xf numFmtId="165" fontId="0" fillId="0" borderId="1" applyAlignment="1" applyProtection="1" pivotButton="0" quotePrefix="0" xfId="0">
      <alignment vertical="top" wrapText="1"/>
      <protection locked="0" hidden="0"/>
    </xf>
    <xf numFmtId="165" fontId="0" fillId="3" borderId="1" applyAlignment="1" applyProtection="1" pivotButton="0" quotePrefix="0" xfId="0">
      <alignment vertical="top" wrapText="1"/>
      <protection locked="0" hidden="0"/>
    </xf>
    <xf numFmtId="165" fontId="4" fillId="4" borderId="1" applyAlignment="1" applyProtection="1" pivotButton="0" quotePrefix="0" xfId="0">
      <alignment vertical="top" wrapText="1"/>
      <protection locked="0" hidden="0"/>
    </xf>
    <xf numFmtId="0" fontId="4" fillId="4" borderId="0" pivotButton="0" quotePrefix="0" xfId="0"/>
    <xf numFmtId="0" fontId="3" fillId="0" borderId="1" applyAlignment="1" applyProtection="1" pivotButton="0" quotePrefix="0" xfId="0">
      <alignment vertical="top" wrapText="1"/>
      <protection locked="0" hidden="0"/>
    </xf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dxfs count="9">
    <dxf>
      <fill>
        <patternFill patternType="solid">
          <fgColor rgb="00F87171"/>
        </patternFill>
      </fill>
    </dxf>
    <dxf>
      <fill>
        <patternFill patternType="solid">
          <fgColor rgb="00FDBA74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BFDBFE"/>
        </patternFill>
      </fill>
    </dxf>
    <dxf>
      <fill>
        <patternFill patternType="solid">
          <fgColor rgb="0086EFAC"/>
        </patternFill>
      </fill>
    </dxf>
    <dxf>
      <fill>
        <patternFill patternType="solid">
          <fgColor rgb="00FCA5A5"/>
        </patternFill>
      </fill>
    </dxf>
    <dxf>
      <fill>
        <patternFill patternType="solid">
          <fgColor rgb="00FDE047"/>
        </patternFill>
      </fill>
    </dxf>
    <dxf>
      <fill>
        <patternFill patternType="solid">
          <fgColor rgb="00CBD5E1"/>
        </patternFill>
      </fill>
    </dxf>
    <dxf>
      <fill>
        <patternFill patternType="solid">
          <fgColor rgb="0093C5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Execution Mix</a:t>
            </a:r>
          </a:p>
        </rich>
      </tx>
    </title>
    <plotArea>
      <pieChart>
        <varyColors val="1"/>
        <ser>
          <idx val="0"/>
          <order val="0"/>
          <tx>
            <strRef>
              <f>'01 Dashboard'!G3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Dashboard'!$F$4:$F$7</f>
            </numRef>
          </cat>
          <val>
            <numRef>
              <f>'01 Dashboard'!$G$4:$G$7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Bugs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 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Dashboard'!$F$10:$F$13</f>
            </numRef>
          </cat>
          <val>
            <numRef>
              <f>'01 Dashboard'!$G$10:$G$13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Module Completion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 Dashboard'!G15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Dashboard'!$F$16:$F$35</f>
            </numRef>
          </cat>
          <val>
            <numRef>
              <f>'01 Dashboard'!$G$16:$G$35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Progress (Executed vs Passed)</a:t>
            </a:r>
          </a:p>
        </rich>
      </tx>
    </title>
    <plotArea>
      <lineChart>
        <grouping val="standard"/>
        <ser>
          <idx val="0"/>
          <order val="0"/>
          <tx>
            <strRef>
              <f>'01 Dashboard'!J4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 Dashboard'!$I$5:$I$11</f>
            </numRef>
          </cat>
          <val>
            <numRef>
              <f>'01 Dashboard'!$J$5:$J$11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Hours by QA Person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 Dashboard'!O3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Dashboard'!$N$4:$N$5</f>
            </numRef>
          </cat>
          <val>
            <numRef>
              <f>'01 Dashboard'!$O$4:$O$5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24</row>
      <rowOff>0</rowOff>
    </from>
    <ext cx="54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41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41</row>
      <rowOff>0</rowOff>
    </from>
    <ext cx="504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Relationship Type="http://schemas.openxmlformats.org/officeDocument/2006/relationships/hyperlink" Target="#'NAV Hub'!A1" TargetMode="External" Id="rId12"/><Relationship Type="http://schemas.openxmlformats.org/officeDocument/2006/relationships/hyperlink" Target="#'01 Dashboard'!A1" TargetMode="External" Id="rId13"/><Relationship Type="http://schemas.openxmlformats.org/officeDocument/2006/relationships/hyperlink" Target="#'QA Tasks'!A1" TargetMode="External" Id="rId14"/><Relationship Type="http://schemas.openxmlformats.org/officeDocument/2006/relationships/hyperlink" Target="#'Dev Team'!A1" TargetMode="External" Id="rId15"/><Relationship Type="http://schemas.openxmlformats.org/officeDocument/2006/relationships/hyperlink" Target="#'Dev Tasks'!A1" TargetMode="External" Id="rId16"/><Relationship Type="http://schemas.openxmlformats.org/officeDocument/2006/relationships/hyperlink" Target="#'02 Module Master'!A1" TargetMode="External" Id="rId17"/><Relationship Type="http://schemas.openxmlformats.org/officeDocument/2006/relationships/hyperlink" Target="#'03 Feature Inventory'!A1" TargetMode="External" Id="rId18"/><Relationship Type="http://schemas.openxmlformats.org/officeDocument/2006/relationships/hyperlink" Target="#'04 Test Case Repository'!A1" TargetMode="External" Id="rId19"/><Relationship Type="http://schemas.openxmlformats.org/officeDocument/2006/relationships/hyperlink" Target="#'05 E2E User Flows'!A1" TargetMode="External" Id="rId20"/><Relationship Type="http://schemas.openxmlformats.org/officeDocument/2006/relationships/hyperlink" Target="#'06 Bug Tracker'!A1" TargetMode="External" Id="rId21"/><Relationship Type="http://schemas.openxmlformats.org/officeDocument/2006/relationships/hyperlink" Target="#'07 UI-UX Testing'!A1" TargetMode="External" Id="rId22"/><Relationship Type="http://schemas.openxmlformats.org/officeDocument/2006/relationships/hyperlink" Target="#'08 Mobile Responsiveness'!A1" TargetMode="External" Id="rId23"/><Relationship Type="http://schemas.openxmlformats.org/officeDocument/2006/relationships/hyperlink" Target="#'09 API Testing'!A1" TargetMode="External" Id="rId24"/><Relationship Type="http://schemas.openxmlformats.org/officeDocument/2006/relationships/hyperlink" Target="#'10 Database Validation'!A1" TargetMode="External" Id="rId25"/><Relationship Type="http://schemas.openxmlformats.org/officeDocument/2006/relationships/hyperlink" Target="#'11 Authentication Testing'!A1" TargetMode="External" Id="rId26"/><Relationship Type="http://schemas.openxmlformats.org/officeDocument/2006/relationships/hyperlink" Target="#'12 Security Testing'!A1" TargetMode="External" Id="rId27"/><Relationship Type="http://schemas.openxmlformats.org/officeDocument/2006/relationships/hyperlink" Target="#'13 Performance Testing'!A1" TargetMode="External" Id="rId28"/><Relationship Type="http://schemas.openxmlformats.org/officeDocument/2006/relationships/hyperlink" Target="#'14 Live Coaching Testing'!A1" TargetMode="External" Id="rId29"/><Relationship Type="http://schemas.openxmlformats.org/officeDocument/2006/relationships/hyperlink" Target="#'15 Gov Exam Mock Testing'!A1" TargetMode="External" Id="rId30"/><Relationship Type="http://schemas.openxmlformats.org/officeDocument/2006/relationships/hyperlink" Target="#'16 Billing Credits Testing'!A1" TargetMode="External" Id="rId31"/><Relationship Type="http://schemas.openxmlformats.org/officeDocument/2006/relationships/hyperlink" Target="#'17 Role Based Testing'!A1" TargetMode="External" Id="rId32"/><Relationship Type="http://schemas.openxmlformats.org/officeDocument/2006/relationships/hyperlink" Target="#'18 Regression Testing'!A1" TargetMode="External" Id="rId33"/><Relationship Type="http://schemas.openxmlformats.org/officeDocument/2006/relationships/hyperlink" Target="#'19 Production Readiness'!A1" TargetMode="External" Id="rId34"/><Relationship Type="http://schemas.openxmlformats.org/officeDocument/2006/relationships/hyperlink" Target="#'20 Release Sign-Off'!A1" TargetMode="External" Id="rId35"/><Relationship Type="http://schemas.openxmlformats.org/officeDocument/2006/relationships/hyperlink" Target="#'21 Test Credentials'!A1" TargetMode="External" Id="rId36"/><Relationship Type="http://schemas.openxmlformats.org/officeDocument/2006/relationships/hyperlink" Target="#'22 Environments'!A1" TargetMode="External" Id="rId37"/><Relationship Type="http://schemas.openxmlformats.org/officeDocument/2006/relationships/hyperlink" Target="#'23 Module Playbooks'!A1" TargetMode="External" Id="rId38"/><Relationship Type="http://schemas.openxmlformats.org/officeDocument/2006/relationships/hyperlink" Target="#'24 Launch Status'!A1" TargetMode="External" Id="rId39"/><Relationship Type="http://schemas.openxmlformats.org/officeDocument/2006/relationships/hyperlink" Target="#'25 Smoke Pack'!A1" TargetMode="External" Id="rId40"/><Relationship Type="http://schemas.openxmlformats.org/officeDocument/2006/relationships/hyperlink" Target="#'QA Team'!A1" TargetMode="External" Id="rId41"/><Relationship Type="http://schemas.openxmlformats.org/officeDocument/2006/relationships/hyperlink" Target="#'Daily Log'!A1" TargetMode="External" Id="rId42"/><Relationship Type="http://schemas.openxmlformats.org/officeDocument/2006/relationships/hyperlink" Target="#'Lists'!A1" TargetMode="External" Id="rId43"/></Relationships>
</file>

<file path=xl/worksheets/_rels/sheet2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03 Feature Inventory'!A1" TargetMode="External" Id="rId2"/><Relationship Type="http://schemas.openxmlformats.org/officeDocument/2006/relationships/hyperlink" Target="#'06 Bug Tracker'!A1" TargetMode="External" Id="rId3"/><Relationship Type="http://schemas.openxmlformats.org/officeDocument/2006/relationships/hyperlink" Target="#'24 Launch Status'!A1" TargetMode="External" Id="rId4"/><Relationship Type="http://schemas.openxmlformats.org/officeDocument/2006/relationships/hyperlink" Target="#'25 Smoke Pack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Relationship Type="http://schemas.openxmlformats.org/officeDocument/2006/relationships/hyperlink" Target="#'01 Dashboard'!A1" TargetMode="External" Id="rId11"/><Relationship Type="http://schemas.openxmlformats.org/officeDocument/2006/relationships/hyperlink" Target="#'01 Dashboard'!A1" TargetMode="External" Id="rId12"/><Relationship Type="http://schemas.openxmlformats.org/officeDocument/2006/relationships/hyperlink" Target="#'24 Launch Status'!A1" TargetMode="External" Id="rId13"/><Relationship Type="http://schemas.openxmlformats.org/officeDocument/2006/relationships/hyperlink" Target="#'24 Launch Status'!A1" TargetMode="External" Id="rId14"/><Relationship Type="http://schemas.openxmlformats.org/officeDocument/2006/relationships/hyperlink" Target="#'20 Release Sign-Off'!A1" TargetMode="External" Id="rId15"/><Relationship Type="http://schemas.openxmlformats.org/officeDocument/2006/relationships/hyperlink" Target="#'20 Release Sign-Off'!A1" TargetMode="External" Id="rId16"/><Relationship Type="http://schemas.openxmlformats.org/officeDocument/2006/relationships/hyperlink" Target="#'19 Production Readiness'!A1" TargetMode="External" Id="rId17"/><Relationship Type="http://schemas.openxmlformats.org/officeDocument/2006/relationships/hyperlink" Target="#'19 Production Readiness'!A1" TargetMode="External" Id="rId18"/><Relationship Type="http://schemas.openxmlformats.org/officeDocument/2006/relationships/hyperlink" Target="#'02 Module Master'!A1" TargetMode="External" Id="rId19"/><Relationship Type="http://schemas.openxmlformats.org/officeDocument/2006/relationships/hyperlink" Target="#'02 Module Master'!A1" TargetMode="External" Id="rId20"/><Relationship Type="http://schemas.openxmlformats.org/officeDocument/2006/relationships/hyperlink" Target="#'03 Feature Inventory'!A1" TargetMode="External" Id="rId21"/><Relationship Type="http://schemas.openxmlformats.org/officeDocument/2006/relationships/hyperlink" Target="#'03 Feature Inventory'!A1" TargetMode="External" Id="rId22"/><Relationship Type="http://schemas.openxmlformats.org/officeDocument/2006/relationships/hyperlink" Target="#'23 Module Playbooks'!A1" TargetMode="External" Id="rId23"/><Relationship Type="http://schemas.openxmlformats.org/officeDocument/2006/relationships/hyperlink" Target="#'23 Module Playbooks'!A1" TargetMode="External" Id="rId24"/><Relationship Type="http://schemas.openxmlformats.org/officeDocument/2006/relationships/hyperlink" Target="#'17 Role Based Testing'!A1" TargetMode="External" Id="rId25"/><Relationship Type="http://schemas.openxmlformats.org/officeDocument/2006/relationships/hyperlink" Target="#'17 Role Based Testing'!A1" TargetMode="External" Id="rId26"/><Relationship Type="http://schemas.openxmlformats.org/officeDocument/2006/relationships/hyperlink" Target="#'QA Tasks'!A1" TargetMode="External" Id="rId27"/><Relationship Type="http://schemas.openxmlformats.org/officeDocument/2006/relationships/hyperlink" Target="#'QA Tasks'!A1" TargetMode="External" Id="rId28"/><Relationship Type="http://schemas.openxmlformats.org/officeDocument/2006/relationships/hyperlink" Target="#'04 Test Case Repository'!A1" TargetMode="External" Id="rId29"/><Relationship Type="http://schemas.openxmlformats.org/officeDocument/2006/relationships/hyperlink" Target="#'04 Test Case Repository'!A1" TargetMode="External" Id="rId30"/><Relationship Type="http://schemas.openxmlformats.org/officeDocument/2006/relationships/hyperlink" Target="#'05 E2E User Flows'!A1" TargetMode="External" Id="rId31"/><Relationship Type="http://schemas.openxmlformats.org/officeDocument/2006/relationships/hyperlink" Target="#'05 E2E User Flows'!A1" TargetMode="External" Id="rId32"/><Relationship Type="http://schemas.openxmlformats.org/officeDocument/2006/relationships/hyperlink" Target="#'25 Smoke Pack'!A1" TargetMode="External" Id="rId33"/><Relationship Type="http://schemas.openxmlformats.org/officeDocument/2006/relationships/hyperlink" Target="#'25 Smoke Pack'!A1" TargetMode="External" Id="rId34"/><Relationship Type="http://schemas.openxmlformats.org/officeDocument/2006/relationships/hyperlink" Target="#'18 Regression Testing'!A1" TargetMode="External" Id="rId35"/><Relationship Type="http://schemas.openxmlformats.org/officeDocument/2006/relationships/hyperlink" Target="#'18 Regression Testing'!A1" TargetMode="External" Id="rId36"/><Relationship Type="http://schemas.openxmlformats.org/officeDocument/2006/relationships/hyperlink" Target="#'Daily Log'!A1" TargetMode="External" Id="rId37"/><Relationship Type="http://schemas.openxmlformats.org/officeDocument/2006/relationships/hyperlink" Target="#'Daily Log'!A1" TargetMode="External" Id="rId38"/><Relationship Type="http://schemas.openxmlformats.org/officeDocument/2006/relationships/hyperlink" Target="#'06 Bug Tracker'!A1" TargetMode="External" Id="rId39"/><Relationship Type="http://schemas.openxmlformats.org/officeDocument/2006/relationships/hyperlink" Target="#'06 Bug Tracker'!A1" TargetMode="External" Id="rId40"/><Relationship Type="http://schemas.openxmlformats.org/officeDocument/2006/relationships/hyperlink" Target="#'Dev Tasks'!A1" TargetMode="External" Id="rId41"/><Relationship Type="http://schemas.openxmlformats.org/officeDocument/2006/relationships/hyperlink" Target="#'Dev Tasks'!A1" TargetMode="External" Id="rId42"/><Relationship Type="http://schemas.openxmlformats.org/officeDocument/2006/relationships/hyperlink" Target="#'Dev Team'!A1" TargetMode="External" Id="rId43"/><Relationship Type="http://schemas.openxmlformats.org/officeDocument/2006/relationships/hyperlink" Target="#'Dev Team'!A1" TargetMode="External" Id="rId44"/><Relationship Type="http://schemas.openxmlformats.org/officeDocument/2006/relationships/hyperlink" Target="#'07 UI-UX Testing'!A1" TargetMode="External" Id="rId45"/><Relationship Type="http://schemas.openxmlformats.org/officeDocument/2006/relationships/hyperlink" Target="#'07 UI-UX Testing'!A1" TargetMode="External" Id="rId46"/><Relationship Type="http://schemas.openxmlformats.org/officeDocument/2006/relationships/hyperlink" Target="#'08 Mobile Responsiveness'!A1" TargetMode="External" Id="rId47"/><Relationship Type="http://schemas.openxmlformats.org/officeDocument/2006/relationships/hyperlink" Target="#'08 Mobile Responsiveness'!A1" TargetMode="External" Id="rId48"/><Relationship Type="http://schemas.openxmlformats.org/officeDocument/2006/relationships/hyperlink" Target="#'13 Performance Testing'!A1" TargetMode="External" Id="rId49"/><Relationship Type="http://schemas.openxmlformats.org/officeDocument/2006/relationships/hyperlink" Target="#'13 Performance Testing'!A1" TargetMode="External" Id="rId50"/><Relationship Type="http://schemas.openxmlformats.org/officeDocument/2006/relationships/hyperlink" Target="#'09 API Testing'!A1" TargetMode="External" Id="rId51"/><Relationship Type="http://schemas.openxmlformats.org/officeDocument/2006/relationships/hyperlink" Target="#'09 API Testing'!A1" TargetMode="External" Id="rId52"/><Relationship Type="http://schemas.openxmlformats.org/officeDocument/2006/relationships/hyperlink" Target="#'10 Database Validation'!A1" TargetMode="External" Id="rId53"/><Relationship Type="http://schemas.openxmlformats.org/officeDocument/2006/relationships/hyperlink" Target="#'10 Database Validation'!A1" TargetMode="External" Id="rId54"/><Relationship Type="http://schemas.openxmlformats.org/officeDocument/2006/relationships/hyperlink" Target="#'11 Authentication Testing'!A1" TargetMode="External" Id="rId55"/><Relationship Type="http://schemas.openxmlformats.org/officeDocument/2006/relationships/hyperlink" Target="#'11 Authentication Testing'!A1" TargetMode="External" Id="rId56"/><Relationship Type="http://schemas.openxmlformats.org/officeDocument/2006/relationships/hyperlink" Target="#'12 Security Testing'!A1" TargetMode="External" Id="rId57"/><Relationship Type="http://schemas.openxmlformats.org/officeDocument/2006/relationships/hyperlink" Target="#'12 Security Testing'!A1" TargetMode="External" Id="rId58"/><Relationship Type="http://schemas.openxmlformats.org/officeDocument/2006/relationships/hyperlink" Target="#'14 Live Coaching Testing'!A1" TargetMode="External" Id="rId59"/><Relationship Type="http://schemas.openxmlformats.org/officeDocument/2006/relationships/hyperlink" Target="#'14 Live Coaching Testing'!A1" TargetMode="External" Id="rId60"/><Relationship Type="http://schemas.openxmlformats.org/officeDocument/2006/relationships/hyperlink" Target="#'15 Gov Exam Mock Testing'!A1" TargetMode="External" Id="rId61"/><Relationship Type="http://schemas.openxmlformats.org/officeDocument/2006/relationships/hyperlink" Target="#'15 Gov Exam Mock Testing'!A1" TargetMode="External" Id="rId62"/><Relationship Type="http://schemas.openxmlformats.org/officeDocument/2006/relationships/hyperlink" Target="#'16 Billing Credits Testing'!A1" TargetMode="External" Id="rId63"/><Relationship Type="http://schemas.openxmlformats.org/officeDocument/2006/relationships/hyperlink" Target="#'16 Billing Credits Testing'!A1" TargetMode="External" Id="rId64"/><Relationship Type="http://schemas.openxmlformats.org/officeDocument/2006/relationships/hyperlink" Target="#'21 Test Credentials'!A1" TargetMode="External" Id="rId65"/><Relationship Type="http://schemas.openxmlformats.org/officeDocument/2006/relationships/hyperlink" Target="#'21 Test Credentials'!A1" TargetMode="External" Id="rId66"/><Relationship Type="http://schemas.openxmlformats.org/officeDocument/2006/relationships/hyperlink" Target="#'22 Environments'!A1" TargetMode="External" Id="rId67"/><Relationship Type="http://schemas.openxmlformats.org/officeDocument/2006/relationships/hyperlink" Target="#'22 Environments'!A1" TargetMode="External" Id="rId68"/><Relationship Type="http://schemas.openxmlformats.org/officeDocument/2006/relationships/hyperlink" Target="#'QA Team'!A1" TargetMode="External" Id="rId69"/><Relationship Type="http://schemas.openxmlformats.org/officeDocument/2006/relationships/hyperlink" Target="#'QA Team'!A1" TargetMode="External" Id="rId70"/><Relationship Type="http://schemas.openxmlformats.org/officeDocument/2006/relationships/hyperlink" Target="#'00 Read Me'!A1" TargetMode="External" Id="rId71"/><Relationship Type="http://schemas.openxmlformats.org/officeDocument/2006/relationships/hyperlink" Target="#'00 Read Me'!A1" TargetMode="External" Id="rId72"/><Relationship Type="http://schemas.openxmlformats.org/officeDocument/2006/relationships/hyperlink" Target="#'Lists'!A1" TargetMode="External" Id="rId73"/><Relationship Type="http://schemas.openxmlformats.org/officeDocument/2006/relationships/hyperlink" Target="#'Lists'!A1" TargetMode="External" Id="rId74"/></Relationships>
</file>

<file path=xl/worksheets/_rels/sheet3.xml.rels><Relationships xmlns="http://schemas.openxmlformats.org/package/2006/relationships"><Relationship Type="http://schemas.openxmlformats.org/officeDocument/2006/relationships/hyperlink" Target="#'NAV Hub'!A1" TargetMode="External" Id="rId1"/><Relationship Type="http://schemas.openxmlformats.org/officeDocument/2006/relationships/hyperlink" Target="#'03 Feature Inventory'!A1" TargetMode="External" Id="rId2"/><Relationship Type="http://schemas.openxmlformats.org/officeDocument/2006/relationships/hyperlink" Target="#'06 Bug Tracker'!A1" TargetMode="External" Id="rId3"/><Relationship Type="http://schemas.openxmlformats.org/officeDocument/2006/relationships/hyperlink" Target="#'24 Launch Status'!A1" TargetMode="External" Id="rId4"/><Relationship Type="http://schemas.openxmlformats.org/officeDocument/2006/relationships/hyperlink" Target="#'25 Smoke Pack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Relationship Type="http://schemas.openxmlformats.org/officeDocument/2006/relationships/hyperlink" Target="#'NAV Hub'!A1" TargetMode="External" Id="rId11"/><Relationship Type="http://schemas.openxmlformats.org/officeDocument/2006/relationships/hyperlink" Target="#'QA Tasks'!A1" TargetMode="External" Id="rId12"/><Relationship Type="http://schemas.openxmlformats.org/officeDocument/2006/relationships/hyperlink" Target="#'Dev Tasks'!A1" TargetMode="External" Id="rId13"/><Relationship Type="http://schemas.openxmlformats.org/officeDocument/2006/relationships/hyperlink" Target="#'06 Bug Tracker'!A1" TargetMode="External" Id="rId14"/><Relationship Type="http://schemas.openxmlformats.org/officeDocument/2006/relationships/hyperlink" Target="#'25 Smoke Pack'!A1" TargetMode="External" Id="rId15"/><Relationship Type="http://schemas.openxmlformats.org/officeDocument/2006/relationships/hyperlink" Target="#'24 Launch Status'!A1" TargetMode="External" Id="rId16"/><Relationship Type="http://schemas.openxmlformats.org/officeDocument/2006/relationships/drawing" Target="/xl/drawings/drawing1.xml" Id="rId17"/></Relationships>
</file>

<file path=xl/worksheets/_rels/sheet4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6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7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8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9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6 Bug Tracker'!A1" TargetMode="External" Id="rId3"/><Relationship Type="http://schemas.openxmlformats.org/officeDocument/2006/relationships/hyperlink" Target="#'24 Launch Status'!A1" TargetMode="External" Id="rId4"/><Relationship Type="http://schemas.openxmlformats.org/officeDocument/2006/relationships/hyperlink" Target="#'25 Smoke Pack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10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20 Release Sign-Off'!A1" TargetMode="External" Id="rId10"/></Relationships>
</file>

<file path=xl/worksheets/_rels/sheet11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2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24 Launch Status'!A1" TargetMode="External" Id="rId4"/><Relationship Type="http://schemas.openxmlformats.org/officeDocument/2006/relationships/hyperlink" Target="#'25 Smoke Pack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4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5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6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7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8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9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20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21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22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23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24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25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/Relationships>
</file>

<file path=xl/worksheets/_rels/sheet27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28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29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30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5 Smoke Pack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31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32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110" customWidth="1" min="2" max="2"/>
  </cols>
  <sheetData>
    <row r="1">
      <c r="A1" s="1" t="inlineStr">
        <is>
          <t>Clarify AI — Enterprise QA Testing Workbook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3">
      <c r="A3" s="3" t="inlineStr"/>
      <c r="B3" s="4" t="inlineStr"/>
    </row>
    <row r="4">
      <c r="A4" s="3" t="inlineStr">
        <is>
          <t>Application</t>
        </is>
      </c>
      <c r="B4" s="4" t="inlineStr">
        <is>
          <t>Clarify AI</t>
        </is>
      </c>
    </row>
    <row r="5">
      <c r="A5" s="3" t="inlineStr">
        <is>
          <t>Description</t>
        </is>
      </c>
      <c r="B5" s="4" t="inlineStr">
        <is>
          <t>AI-powered interview preparation &amp; rehearsal platform with Indian gov-exam MCQ mock tests, live coaching overlay, and dual Stripe/Razorpay billing.</t>
        </is>
      </c>
    </row>
    <row r="6">
      <c r="A6" s="3" t="inlineStr">
        <is>
          <t>Tech stack</t>
        </is>
      </c>
      <c r="B6" s="4" t="inlineStr">
        <is>
          <t>React 18 + TypeScript + Vite + Tailwind/shadcn · Supabase (Auth, Postgres+RLS, Edge/Deno, Storage, Realtime) · Electron · Deepgram · Gemini/OpenAI/Anthropic · Stripe + Razorpay</t>
        </is>
      </c>
    </row>
    <row r="7">
      <c r="A7" s="3" t="inlineStr">
        <is>
          <t>Portals</t>
        </is>
      </c>
      <c r="B7" s="4" t="inlineStr">
        <is>
          <t>Marketing · Auth · Candidate App · Admin · Electron Overlay</t>
        </is>
      </c>
    </row>
    <row r="8">
      <c r="A8" s="3" t="inlineStr">
        <is>
          <t>Roles</t>
        </is>
      </c>
      <c r="B8" s="4" t="inlineStr">
        <is>
          <t>Guest · Free User · Pro User · Max User · Admin</t>
        </is>
      </c>
    </row>
    <row r="9">
      <c r="A9" s="3" t="inlineStr">
        <is>
          <t>Version under test</t>
        </is>
      </c>
      <c r="B9" s="4" t="inlineStr">
        <is>
          <t>1.0.0 / 1.0.0-beta</t>
        </is>
      </c>
    </row>
    <row r="10">
      <c r="A10" s="3" t="inlineStr">
        <is>
          <t>Generated</t>
        </is>
      </c>
      <c r="B10" s="4" t="inlineStr">
        <is>
          <t>2026-07-29</t>
        </is>
      </c>
    </row>
    <row r="11">
      <c r="A11" s="3" t="inlineStr"/>
      <c r="B11" s="4" t="inlineStr"/>
    </row>
    <row r="12">
      <c r="A12" s="3" t="inlineStr">
        <is>
          <t>HOW TO USE</t>
        </is>
      </c>
      <c r="B12" s="4" t="inlineStr"/>
    </row>
    <row r="13">
      <c r="A13" s="3" t="inlineStr">
        <is>
          <t>1</t>
        </is>
      </c>
      <c r="B13" s="4" t="inlineStr">
        <is>
          <t>Start at NAV Hub or 01 Dashboard — KPIs + charts.</t>
        </is>
      </c>
    </row>
    <row r="14">
      <c r="A14" s="3" t="inlineStr">
        <is>
          <t>2</t>
        </is>
      </c>
      <c r="B14" s="4" t="inlineStr">
        <is>
          <t>QA opens QA Tasks — pick your rows (Shreya / Raj). Execute linked TCs on 04.</t>
        </is>
      </c>
    </row>
    <row r="15">
      <c r="A15" s="3" t="inlineStr">
        <is>
          <t>3</t>
        </is>
      </c>
      <c r="B15" s="4" t="inlineStr">
        <is>
          <t>On Fail: set Pass/Fail=Fail on 04 → add a row on 06 Bug Tracker (Reported By = you, Assigned To = a Developer).</t>
        </is>
      </c>
    </row>
    <row r="16">
      <c r="A16" s="3" t="inlineStr">
        <is>
          <t>4</t>
        </is>
      </c>
      <c r="B16" s="4" t="inlineStr">
        <is>
          <t>Dev Tasks auto-mirrors 06 — developers see Needs Dev Action=Yes. Filter that column.</t>
        </is>
      </c>
    </row>
    <row r="17">
      <c r="A17" s="3" t="inlineStr">
        <is>
          <t>5</t>
        </is>
      </c>
      <c r="B17" s="4" t="inlineStr">
        <is>
          <t>Dev sets Bug Status=Fixed or Retest on 06 → QA retests → Closed. Fill Daily Log daily.</t>
        </is>
      </c>
    </row>
    <row r="18">
      <c r="A18" s="3" t="inlineStr">
        <is>
          <t>6</t>
        </is>
      </c>
      <c r="B18" s="4" t="inlineStr">
        <is>
          <t>Complete 19 Production Readiness and 20 Release Sign-Off for Go/No-Go.</t>
        </is>
      </c>
    </row>
    <row r="19">
      <c r="A19" s="3" t="inlineStr">
        <is>
          <t>7</t>
        </is>
      </c>
      <c r="B19" s="4" t="inlineStr">
        <is>
          <t>Slicer tip: AutoFilter on Bug Tracker / Dev Tasks / QA Tasks (Status, Owner, Priority).</t>
        </is>
      </c>
    </row>
    <row r="20">
      <c r="A20" s="3" t="inlineStr"/>
      <c r="B20" s="4" t="inlineStr"/>
    </row>
    <row r="21">
      <c r="A21" s="3" t="inlineStr">
        <is>
          <t>QA TEAM (production)</t>
        </is>
      </c>
      <c r="B21" s="4" t="inlineStr"/>
    </row>
    <row r="22">
      <c r="A22" s="3" t="inlineStr"/>
      <c r="B22" s="4" t="inlineStr">
        <is>
          <t>Shreya Patil — Practice Coach, Overlay, Mock, Sessions/Debrief, Documents, UI/UX, Electron</t>
        </is>
      </c>
    </row>
    <row r="23">
      <c r="A23" s="3" t="inlineStr"/>
      <c r="B23" s="4" t="inlineStr">
        <is>
          <t>Raj Balani — Auth, Billing, Gov Exams, Admin, Prep Lab, Security, Regression</t>
        </is>
      </c>
    </row>
    <row r="24">
      <c r="A24" s="3" t="inlineStr">
        <is>
          <t>DEV TEAM</t>
        </is>
      </c>
      <c r="B24" s="4" t="inlineStr"/>
    </row>
    <row r="25">
      <c r="A25" s="3" t="inlineStr"/>
      <c r="B25" s="4" t="inlineStr">
        <is>
          <t>Dev Lead · Live Coach Dev · Platform Dev · GovExams Dev · Desktop Dev — see Dev Team sheet</t>
        </is>
      </c>
    </row>
    <row r="26">
      <c r="A26" s="5" t="inlineStr">
        <is>
          <t>Green</t>
        </is>
      </c>
      <c r="B26" s="4" t="inlineStr">
        <is>
          <t>Pass / Yes / Closed / Done</t>
        </is>
      </c>
    </row>
    <row r="27">
      <c r="A27" s="6" t="inlineStr">
        <is>
          <t>Red</t>
        </is>
      </c>
      <c r="B27" s="4" t="inlineStr">
        <is>
          <t>Fail / No / Critical / Blocked</t>
        </is>
      </c>
    </row>
    <row r="28">
      <c r="A28" s="7" t="inlineStr">
        <is>
          <t>Yellow</t>
        </is>
      </c>
      <c r="B28" s="4" t="inlineStr">
        <is>
          <t>In Progress / Open / Medium / Queued</t>
        </is>
      </c>
    </row>
    <row r="29">
      <c r="A29" s="8" t="inlineStr">
        <is>
          <t>Gray</t>
        </is>
      </c>
      <c r="B29" s="4" t="inlineStr">
        <is>
          <t>Not Started / Not Run</t>
        </is>
      </c>
    </row>
    <row r="30">
      <c r="A30" s="9" t="inlineStr">
        <is>
          <t>Blue</t>
        </is>
      </c>
      <c r="B30" s="4" t="inlineStr">
        <is>
          <t>Completed / Passed / Ready</t>
        </is>
      </c>
    </row>
    <row r="31">
      <c r="A31" s="3" t="inlineStr"/>
      <c r="B31" s="4" t="inlineStr"/>
    </row>
    <row r="32">
      <c r="A32" s="3" t="inlineStr">
        <is>
          <t>SCALING</t>
        </is>
      </c>
      <c r="B32" s="4" t="inlineStr"/>
    </row>
    <row r="33">
      <c r="A33" s="3" t="inlineStr"/>
      <c r="B33" s="4" t="inlineStr">
        <is>
          <t>One row per entity; filters + freeze panes. Dashboard / Dev Tasks formulas scan to row 5000 / 152.</t>
        </is>
      </c>
    </row>
    <row r="34">
      <c r="A34" s="3" t="inlineStr">
        <is>
          <t>Google Sheets</t>
        </is>
      </c>
      <c r="B34" s="4" t="inlineStr">
        <is>
          <t>Upload .xlsx to Drive → Open with Google Sheets. Hyperlinks transfer; confirm Lists ranges after import.</t>
        </is>
      </c>
    </row>
    <row r="35">
      <c r="A35" s="3" t="inlineStr"/>
      <c r="B35" s="4" t="inlineStr"/>
    </row>
    <row r="36">
      <c r="A36" s="3" t="inlineStr">
        <is>
          <t>SHEET INDEX (click sheet tabs or use NAV Hub)</t>
        </is>
      </c>
      <c r="B36" s="4" t="inlineStr"/>
    </row>
    <row r="37">
      <c r="A37" s="10" t="inlineStr">
        <is>
          <t>NAV Hub</t>
        </is>
      </c>
      <c r="B37" s="4" t="inlineStr">
        <is>
          <t>Clickable map of every sheet — start here</t>
        </is>
      </c>
    </row>
    <row r="38">
      <c r="A38" s="10" t="inlineStr">
        <is>
          <t>01 Dashboard</t>
        </is>
      </c>
      <c r="B38" s="4" t="inlineStr">
        <is>
          <t>Executive KPIs + charts (Power BI style)</t>
        </is>
      </c>
    </row>
    <row r="39">
      <c r="A39" s="10" t="inlineStr">
        <is>
          <t>QA Tasks</t>
        </is>
      </c>
      <c r="B39" s="4" t="inlineStr">
        <is>
          <t>Shreya &amp; Raj execution queue</t>
        </is>
      </c>
    </row>
    <row r="40">
      <c r="A40" s="10" t="inlineStr">
        <is>
          <t>Dev Team</t>
        </is>
      </c>
      <c r="B40" s="4" t="inlineStr">
        <is>
          <t>Developer roster + open-bug counts</t>
        </is>
      </c>
    </row>
    <row r="41">
      <c r="A41" s="10" t="inlineStr">
        <is>
          <t>Dev Tasks</t>
        </is>
      </c>
      <c r="B41" s="4" t="inlineStr">
        <is>
          <t>Live mirror of Bug Tracker for engineers</t>
        </is>
      </c>
    </row>
    <row r="42">
      <c r="A42" s="10" t="inlineStr">
        <is>
          <t>02 Module Master</t>
        </is>
      </c>
      <c r="B42" s="4" t="inlineStr">
        <is>
          <t>20 Clarify modules</t>
        </is>
      </c>
    </row>
    <row r="43">
      <c r="A43" s="10" t="inlineStr">
        <is>
          <t>03 Feature Inventory</t>
        </is>
      </c>
      <c r="B43" s="4" t="inlineStr">
        <is>
          <t>114 features + routes + how-it-works</t>
        </is>
      </c>
    </row>
    <row r="44">
      <c r="A44" s="10" t="inlineStr">
        <is>
          <t>04 Test Case Repository</t>
        </is>
      </c>
      <c r="B44" s="4" t="inlineStr">
        <is>
          <t>Executable cases</t>
        </is>
      </c>
    </row>
    <row r="45">
      <c r="A45" s="10" t="inlineStr">
        <is>
          <t>05 E2E User Flows</t>
        </is>
      </c>
      <c r="B45" s="4" t="inlineStr">
        <is>
          <t>Cross-module journeys</t>
        </is>
      </c>
    </row>
    <row r="46">
      <c r="A46" s="10" t="inlineStr">
        <is>
          <t>06 Bug Tracker</t>
        </is>
      </c>
      <c r="B46" s="4" t="inlineStr">
        <is>
          <t>Defect lifecycle — source of truth</t>
        </is>
      </c>
    </row>
    <row r="47">
      <c r="A47" s="10" t="inlineStr">
        <is>
          <t>07 UI-UX Testing</t>
        </is>
      </c>
      <c r="B47" s="4" t="inlineStr">
        <is>
          <t>Visual / a11y</t>
        </is>
      </c>
    </row>
    <row r="48">
      <c r="A48" s="10" t="inlineStr">
        <is>
          <t>08 Mobile Responsiveness</t>
        </is>
      </c>
      <c r="B48" s="4" t="inlineStr">
        <is>
          <t>Breakpoints</t>
        </is>
      </c>
    </row>
    <row r="49">
      <c r="A49" s="10" t="inlineStr">
        <is>
          <t>09 API Testing</t>
        </is>
      </c>
      <c r="B49" s="4" t="inlineStr">
        <is>
          <t>Edge functions</t>
        </is>
      </c>
    </row>
    <row r="50">
      <c r="A50" s="10" t="inlineStr">
        <is>
          <t>10 Database Validation</t>
        </is>
      </c>
      <c r="B50" s="4" t="inlineStr">
        <is>
          <t>Schema / RLS</t>
        </is>
      </c>
    </row>
    <row r="51">
      <c r="A51" s="10" t="inlineStr">
        <is>
          <t>11 Authentication Testing</t>
        </is>
      </c>
      <c r="B51" s="4" t="inlineStr">
        <is>
          <t>Auth matrix + MFA</t>
        </is>
      </c>
    </row>
    <row r="52">
      <c r="A52" s="10" t="inlineStr">
        <is>
          <t>12 Security Testing</t>
        </is>
      </c>
      <c r="B52" s="4" t="inlineStr">
        <is>
          <t>OWASP-style</t>
        </is>
      </c>
    </row>
    <row r="53">
      <c r="A53" s="10" t="inlineStr">
        <is>
          <t>13 Performance Testing</t>
        </is>
      </c>
      <c r="B53" s="4" t="inlineStr">
        <is>
          <t>Latency budgets</t>
        </is>
      </c>
    </row>
    <row r="54">
      <c r="A54" s="10" t="inlineStr">
        <is>
          <t>14 Live Coaching Testing</t>
        </is>
      </c>
      <c r="B54" s="4" t="inlineStr">
        <is>
          <t>Domain: live coach + overlay</t>
        </is>
      </c>
    </row>
    <row r="55">
      <c r="A55" s="10" t="inlineStr">
        <is>
          <t>15 Gov Exam Mock Testing</t>
        </is>
      </c>
      <c r="B55" s="4" t="inlineStr">
        <is>
          <t>Domain: MCQ engine</t>
        </is>
      </c>
    </row>
    <row r="56">
      <c r="A56" s="10" t="inlineStr">
        <is>
          <t>16 Billing Credits Testing</t>
        </is>
      </c>
      <c r="B56" s="4" t="inlineStr">
        <is>
          <t>Domain: Stripe/Razorpay/credits</t>
        </is>
      </c>
    </row>
    <row r="57">
      <c r="A57" s="10" t="inlineStr">
        <is>
          <t>17 Role Based Testing</t>
        </is>
      </c>
      <c r="B57" s="4" t="inlineStr">
        <is>
          <t>Plan + admin RBAC</t>
        </is>
      </c>
    </row>
    <row r="58">
      <c r="A58" s="10" t="inlineStr">
        <is>
          <t>18 Regression Testing</t>
        </is>
      </c>
      <c r="B58" s="4" t="inlineStr">
        <is>
          <t>Release regression pack</t>
        </is>
      </c>
    </row>
    <row r="59">
      <c r="A59" s="10" t="inlineStr">
        <is>
          <t>19 Production Readiness</t>
        </is>
      </c>
      <c r="B59" s="4" t="inlineStr">
        <is>
          <t>Go-live checklist</t>
        </is>
      </c>
    </row>
    <row r="60">
      <c r="A60" s="10" t="inlineStr">
        <is>
          <t>20 Release Sign-Off</t>
        </is>
      </c>
      <c r="B60" s="4" t="inlineStr">
        <is>
          <t>Formal approval</t>
        </is>
      </c>
    </row>
    <row r="61">
      <c r="A61" s="10" t="inlineStr">
        <is>
          <t>21 Test Credentials</t>
        </is>
      </c>
      <c r="B61" s="4" t="inlineStr">
        <is>
          <t>Placeholder QA accounts</t>
        </is>
      </c>
    </row>
    <row r="62">
      <c r="A62" s="10" t="inlineStr">
        <is>
          <t>22 Environments</t>
        </is>
      </c>
      <c r="B62" s="4" t="inlineStr">
        <is>
          <t>URLs + secrets checklist</t>
        </is>
      </c>
    </row>
    <row r="63">
      <c r="A63" s="10" t="inlineStr">
        <is>
          <t>23 Module Playbooks</t>
        </is>
      </c>
      <c r="B63" s="4" t="inlineStr">
        <is>
          <t>Happy-path runbooks</t>
        </is>
      </c>
    </row>
    <row r="64">
      <c r="A64" s="10" t="inlineStr">
        <is>
          <t>24 Launch Status</t>
        </is>
      </c>
      <c r="B64" s="4" t="inlineStr">
        <is>
          <t>Fixed / Open / Blocked counts</t>
        </is>
      </c>
    </row>
    <row r="65">
      <c r="A65" s="10" t="inlineStr">
        <is>
          <t>25 Smoke Pack</t>
        </is>
      </c>
      <c r="B65" s="4" t="inlineStr">
        <is>
          <t>~20 must-pass cases</t>
        </is>
      </c>
    </row>
    <row r="66">
      <c r="A66" s="10" t="inlineStr">
        <is>
          <t>QA Team</t>
        </is>
      </c>
      <c r="B66" s="4" t="inlineStr">
        <is>
          <t>Roster &amp; capacity (Shreya / Raj)</t>
        </is>
      </c>
    </row>
    <row r="67">
      <c r="A67" s="10" t="inlineStr">
        <is>
          <t>Daily Log</t>
        </is>
      </c>
      <c r="B67" s="4" t="inlineStr">
        <is>
          <t>Feeds daily progress chart</t>
        </is>
      </c>
    </row>
    <row r="68">
      <c r="A68" s="10" t="inlineStr">
        <is>
          <t>Lists</t>
        </is>
      </c>
      <c r="B68" s="4" t="inlineStr">
        <is>
          <t>Dropdown vocabulary — do not delete</t>
        </is>
      </c>
    </row>
  </sheetData>
  <mergeCells count="1">
    <mergeCell ref="A1:B1"/>
  </mergeCell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  <hyperlink xmlns:r="http://schemas.openxmlformats.org/officeDocument/2006/relationships" ref="A37" r:id="rId12"/>
    <hyperlink xmlns:r="http://schemas.openxmlformats.org/officeDocument/2006/relationships" ref="A38" r:id="rId13"/>
    <hyperlink xmlns:r="http://schemas.openxmlformats.org/officeDocument/2006/relationships" ref="A39" r:id="rId14"/>
    <hyperlink xmlns:r="http://schemas.openxmlformats.org/officeDocument/2006/relationships" ref="A40" r:id="rId15"/>
    <hyperlink xmlns:r="http://schemas.openxmlformats.org/officeDocument/2006/relationships" ref="A41" r:id="rId16"/>
    <hyperlink xmlns:r="http://schemas.openxmlformats.org/officeDocument/2006/relationships" ref="A42" r:id="rId17"/>
    <hyperlink xmlns:r="http://schemas.openxmlformats.org/officeDocument/2006/relationships" ref="A43" r:id="rId18"/>
    <hyperlink xmlns:r="http://schemas.openxmlformats.org/officeDocument/2006/relationships" ref="A44" r:id="rId19"/>
    <hyperlink xmlns:r="http://schemas.openxmlformats.org/officeDocument/2006/relationships" ref="A45" r:id="rId20"/>
    <hyperlink xmlns:r="http://schemas.openxmlformats.org/officeDocument/2006/relationships" ref="A46" r:id="rId21"/>
    <hyperlink xmlns:r="http://schemas.openxmlformats.org/officeDocument/2006/relationships" ref="A47" r:id="rId22"/>
    <hyperlink xmlns:r="http://schemas.openxmlformats.org/officeDocument/2006/relationships" ref="A48" r:id="rId23"/>
    <hyperlink xmlns:r="http://schemas.openxmlformats.org/officeDocument/2006/relationships" ref="A49" r:id="rId24"/>
    <hyperlink xmlns:r="http://schemas.openxmlformats.org/officeDocument/2006/relationships" ref="A50" r:id="rId25"/>
    <hyperlink xmlns:r="http://schemas.openxmlformats.org/officeDocument/2006/relationships" ref="A51" r:id="rId26"/>
    <hyperlink xmlns:r="http://schemas.openxmlformats.org/officeDocument/2006/relationships" ref="A52" r:id="rId27"/>
    <hyperlink xmlns:r="http://schemas.openxmlformats.org/officeDocument/2006/relationships" ref="A53" r:id="rId28"/>
    <hyperlink xmlns:r="http://schemas.openxmlformats.org/officeDocument/2006/relationships" ref="A54" r:id="rId29"/>
    <hyperlink xmlns:r="http://schemas.openxmlformats.org/officeDocument/2006/relationships" ref="A55" r:id="rId30"/>
    <hyperlink xmlns:r="http://schemas.openxmlformats.org/officeDocument/2006/relationships" ref="A56" r:id="rId31"/>
    <hyperlink xmlns:r="http://schemas.openxmlformats.org/officeDocument/2006/relationships" ref="A57" r:id="rId32"/>
    <hyperlink xmlns:r="http://schemas.openxmlformats.org/officeDocument/2006/relationships" ref="A58" r:id="rId33"/>
    <hyperlink xmlns:r="http://schemas.openxmlformats.org/officeDocument/2006/relationships" ref="A59" r:id="rId34"/>
    <hyperlink xmlns:r="http://schemas.openxmlformats.org/officeDocument/2006/relationships" ref="A60" r:id="rId35"/>
    <hyperlink xmlns:r="http://schemas.openxmlformats.org/officeDocument/2006/relationships" ref="A61" r:id="rId36"/>
    <hyperlink xmlns:r="http://schemas.openxmlformats.org/officeDocument/2006/relationships" ref="A62" r:id="rId37"/>
    <hyperlink xmlns:r="http://schemas.openxmlformats.org/officeDocument/2006/relationships" ref="A63" r:id="rId38"/>
    <hyperlink xmlns:r="http://schemas.openxmlformats.org/officeDocument/2006/relationships" ref="A64" r:id="rId39"/>
    <hyperlink xmlns:r="http://schemas.openxmlformats.org/officeDocument/2006/relationships" ref="A65" r:id="rId40"/>
    <hyperlink xmlns:r="http://schemas.openxmlformats.org/officeDocument/2006/relationships" ref="A66" r:id="rId41"/>
    <hyperlink xmlns:r="http://schemas.openxmlformats.org/officeDocument/2006/relationships" ref="A67" r:id="rId42"/>
    <hyperlink xmlns:r="http://schemas.openxmlformats.org/officeDocument/2006/relationships" ref="A68" r:id="rId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48" customWidth="1" min="2" max="2"/>
    <col width="12" customWidth="1" min="3" max="3"/>
  </cols>
  <sheetData>
    <row r="1">
      <c r="A1" s="1" t="inlineStr">
        <is>
          <t>NAV Hub — Clarify AI QA Workbook (Power BI style)</t>
        </is>
      </c>
      <c r="J1" s="2" t="inlineStr">
        <is>
          <t>Dashboard</t>
        </is>
      </c>
      <c r="K1" s="11" t="inlineStr">
        <is>
          <t>● 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12" t="inlineStr">
        <is>
          <t>Click any link to jump. Treat AutoFilter columns on Features/Bugs as slicers.</t>
        </is>
      </c>
    </row>
    <row r="4">
      <c r="A4" s="13" t="inlineStr">
        <is>
          <t>Executive</t>
        </is>
      </c>
    </row>
    <row r="5">
      <c r="A5" s="10" t="inlineStr">
        <is>
          <t>01 Dashboard</t>
        </is>
      </c>
      <c r="B5" s="4" t="inlineStr">
        <is>
          <t>KPIs, charts, inventory snapshot</t>
        </is>
      </c>
      <c r="C5" s="10" t="inlineStr">
        <is>
          <t>Open →</t>
        </is>
      </c>
    </row>
    <row r="6">
      <c r="A6" s="10" t="inlineStr">
        <is>
          <t>24 Launch Status</t>
        </is>
      </c>
      <c r="B6" s="4" t="inlineStr">
        <is>
          <t>Fixed / Open / Blocked rollup</t>
        </is>
      </c>
      <c r="C6" s="10" t="inlineStr">
        <is>
          <t>Open →</t>
        </is>
      </c>
    </row>
    <row r="7">
      <c r="A7" s="10" t="inlineStr">
        <is>
          <t>20 Release Sign-Off</t>
        </is>
      </c>
      <c r="B7" s="4" t="inlineStr">
        <is>
          <t>Go / No-Go</t>
        </is>
      </c>
      <c r="C7" s="10" t="inlineStr">
        <is>
          <t>Open →</t>
        </is>
      </c>
    </row>
    <row r="8">
      <c r="A8" s="10" t="inlineStr">
        <is>
          <t>19 Production Readiness</t>
        </is>
      </c>
      <c r="B8" s="4" t="inlineStr">
        <is>
          <t>Module readiness %</t>
        </is>
      </c>
      <c r="C8" s="10" t="inlineStr">
        <is>
          <t>Open →</t>
        </is>
      </c>
    </row>
    <row r="10">
      <c r="A10" s="13" t="inlineStr">
        <is>
          <t>Scope &amp; Coverage</t>
        </is>
      </c>
    </row>
    <row r="11">
      <c r="A11" s="10" t="inlineStr">
        <is>
          <t>02 Module Master</t>
        </is>
      </c>
      <c r="B11" s="4" t="inlineStr">
        <is>
          <t>20 modules</t>
        </is>
      </c>
      <c r="C11" s="10" t="inlineStr">
        <is>
          <t>Open →</t>
        </is>
      </c>
    </row>
    <row r="12">
      <c r="A12" s="10" t="inlineStr">
        <is>
          <t>03 Feature Inventory</t>
        </is>
      </c>
      <c r="B12" s="4" t="inlineStr">
        <is>
          <t>Routes, deep links, how-it-works</t>
        </is>
      </c>
      <c r="C12" s="10" t="inlineStr">
        <is>
          <t>Open →</t>
        </is>
      </c>
    </row>
    <row r="13">
      <c r="A13" s="10" t="inlineStr">
        <is>
          <t>23 Module Playbooks</t>
        </is>
      </c>
      <c r="B13" s="4" t="inlineStr">
        <is>
          <t>Happy-path runbooks</t>
        </is>
      </c>
      <c r="C13" s="10" t="inlineStr">
        <is>
          <t>Open →</t>
        </is>
      </c>
    </row>
    <row r="14">
      <c r="A14" s="10" t="inlineStr">
        <is>
          <t>17 Role Based Testing</t>
        </is>
      </c>
      <c r="B14" s="4" t="inlineStr">
        <is>
          <t>Plan gates</t>
        </is>
      </c>
      <c r="C14" s="10" t="inlineStr">
        <is>
          <t>Open →</t>
        </is>
      </c>
    </row>
    <row r="16">
      <c r="A16" s="13" t="inlineStr">
        <is>
          <t>Execution</t>
        </is>
      </c>
    </row>
    <row r="17">
      <c r="A17" s="10" t="inlineStr">
        <is>
          <t>QA Tasks</t>
        </is>
      </c>
      <c r="B17" s="4" t="inlineStr">
        <is>
          <t>Shreya &amp; Raj task board</t>
        </is>
      </c>
      <c r="C17" s="10" t="inlineStr">
        <is>
          <t>Open →</t>
        </is>
      </c>
    </row>
    <row r="18">
      <c r="A18" s="10" t="inlineStr">
        <is>
          <t>04 Test Case Repository</t>
        </is>
      </c>
      <c r="B18" s="4" t="inlineStr">
        <is>
          <t>Case library</t>
        </is>
      </c>
      <c r="C18" s="10" t="inlineStr">
        <is>
          <t>Open →</t>
        </is>
      </c>
    </row>
    <row r="19">
      <c r="A19" s="10" t="inlineStr">
        <is>
          <t>05 E2E User Flows</t>
        </is>
      </c>
      <c r="B19" s="4" t="inlineStr">
        <is>
          <t>Golden paths</t>
        </is>
      </c>
      <c r="C19" s="10" t="inlineStr">
        <is>
          <t>Open →</t>
        </is>
      </c>
    </row>
    <row r="20">
      <c r="A20" s="10" t="inlineStr">
        <is>
          <t>25 Smoke Pack</t>
        </is>
      </c>
      <c r="B20" s="4" t="inlineStr">
        <is>
          <t>Must-pass (~20)</t>
        </is>
      </c>
      <c r="C20" s="10" t="inlineStr">
        <is>
          <t>Open →</t>
        </is>
      </c>
    </row>
    <row r="21">
      <c r="A21" s="10" t="inlineStr">
        <is>
          <t>18 Regression Testing</t>
        </is>
      </c>
      <c r="B21" s="4" t="inlineStr">
        <is>
          <t>Release pack</t>
        </is>
      </c>
      <c r="C21" s="10" t="inlineStr">
        <is>
          <t>Open →</t>
        </is>
      </c>
    </row>
    <row r="22">
      <c r="A22" s="10" t="inlineStr">
        <is>
          <t>Daily Log</t>
        </is>
      </c>
      <c r="B22" s="4" t="inlineStr">
        <is>
          <t>Trend feed</t>
        </is>
      </c>
      <c r="C22" s="10" t="inlineStr">
        <is>
          <t>Open →</t>
        </is>
      </c>
    </row>
    <row r="24">
      <c r="A24" s="13" t="inlineStr">
        <is>
          <t>Defects &amp; Quality</t>
        </is>
      </c>
    </row>
    <row r="25">
      <c r="A25" s="10" t="inlineStr">
        <is>
          <t>06 Bug Tracker</t>
        </is>
      </c>
      <c r="B25" s="4" t="inlineStr">
        <is>
          <t>Lifecycle (source of truth)</t>
        </is>
      </c>
      <c r="C25" s="10" t="inlineStr">
        <is>
          <t>Open →</t>
        </is>
      </c>
    </row>
    <row r="26">
      <c r="A26" s="10" t="inlineStr">
        <is>
          <t>Dev Tasks</t>
        </is>
      </c>
      <c r="B26" s="4" t="inlineStr">
        <is>
          <t>Live bug mirror for developers</t>
        </is>
      </c>
      <c r="C26" s="10" t="inlineStr">
        <is>
          <t>Open →</t>
        </is>
      </c>
    </row>
    <row r="27">
      <c r="A27" s="10" t="inlineStr">
        <is>
          <t>Dev Team</t>
        </is>
      </c>
      <c r="B27" s="4" t="inlineStr">
        <is>
          <t>Dev roster + load</t>
        </is>
      </c>
      <c r="C27" s="10" t="inlineStr">
        <is>
          <t>Open →</t>
        </is>
      </c>
    </row>
    <row r="28">
      <c r="A28" s="10" t="inlineStr">
        <is>
          <t>07 UI-UX Testing</t>
        </is>
      </c>
      <c r="B28" s="4" t="inlineStr">
        <is>
          <t>Visual / a11y</t>
        </is>
      </c>
      <c r="C28" s="10" t="inlineStr">
        <is>
          <t>Open →</t>
        </is>
      </c>
    </row>
    <row r="29">
      <c r="A29" s="10" t="inlineStr">
        <is>
          <t>08 Mobile Responsiveness</t>
        </is>
      </c>
      <c r="B29" s="4" t="inlineStr">
        <is>
          <t>Breakpoints</t>
        </is>
      </c>
      <c r="C29" s="10" t="inlineStr">
        <is>
          <t>Open →</t>
        </is>
      </c>
    </row>
    <row r="30">
      <c r="A30" s="10" t="inlineStr">
        <is>
          <t>13 Performance Testing</t>
        </is>
      </c>
      <c r="B30" s="4" t="inlineStr">
        <is>
          <t>Latency</t>
        </is>
      </c>
      <c r="C30" s="10" t="inlineStr">
        <is>
          <t>Open →</t>
        </is>
      </c>
    </row>
    <row r="32">
      <c r="A32" s="13" t="inlineStr">
        <is>
          <t>Platform</t>
        </is>
      </c>
    </row>
    <row r="33">
      <c r="A33" s="10" t="inlineStr">
        <is>
          <t>09 API Testing</t>
        </is>
      </c>
      <c r="B33" s="4" t="inlineStr">
        <is>
          <t>Edge functions</t>
        </is>
      </c>
      <c r="C33" s="10" t="inlineStr">
        <is>
          <t>Open →</t>
        </is>
      </c>
    </row>
    <row r="34">
      <c r="A34" s="10" t="inlineStr">
        <is>
          <t>10 Database Validation</t>
        </is>
      </c>
      <c r="B34" s="4" t="inlineStr">
        <is>
          <t>Schema / RLS</t>
        </is>
      </c>
      <c r="C34" s="10" t="inlineStr">
        <is>
          <t>Open →</t>
        </is>
      </c>
    </row>
    <row r="35">
      <c r="A35" s="10" t="inlineStr">
        <is>
          <t>11 Authentication Testing</t>
        </is>
      </c>
      <c r="B35" s="4" t="inlineStr">
        <is>
          <t>Auth + MFA</t>
        </is>
      </c>
      <c r="C35" s="10" t="inlineStr">
        <is>
          <t>Open →</t>
        </is>
      </c>
    </row>
    <row r="36">
      <c r="A36" s="10" t="inlineStr">
        <is>
          <t>12 Security Testing</t>
        </is>
      </c>
      <c r="B36" s="4" t="inlineStr">
        <is>
          <t>OWASP-style</t>
        </is>
      </c>
      <c r="C36" s="10" t="inlineStr">
        <is>
          <t>Open →</t>
        </is>
      </c>
    </row>
    <row r="38">
      <c r="A38" s="13" t="inlineStr">
        <is>
          <t>Domains</t>
        </is>
      </c>
    </row>
    <row r="39">
      <c r="A39" s="10" t="inlineStr">
        <is>
          <t>14 Live Coaching Testing</t>
        </is>
      </c>
      <c r="B39" s="4" t="inlineStr">
        <is>
          <t>Coach + overlay</t>
        </is>
      </c>
      <c r="C39" s="10" t="inlineStr">
        <is>
          <t>Open →</t>
        </is>
      </c>
    </row>
    <row r="40">
      <c r="A40" s="10" t="inlineStr">
        <is>
          <t>15 Gov Exam Mock Testing</t>
        </is>
      </c>
      <c r="B40" s="4" t="inlineStr">
        <is>
          <t>MCQ engine</t>
        </is>
      </c>
      <c r="C40" s="10" t="inlineStr">
        <is>
          <t>Open →</t>
        </is>
      </c>
    </row>
    <row r="41">
      <c r="A41" s="10" t="inlineStr">
        <is>
          <t>16 Billing Credits Testing</t>
        </is>
      </c>
      <c r="B41" s="4" t="inlineStr">
        <is>
          <t>Stripe / Razorpay</t>
        </is>
      </c>
      <c r="C41" s="10" t="inlineStr">
        <is>
          <t>Open →</t>
        </is>
      </c>
    </row>
    <row r="43">
      <c r="A43" s="13" t="inlineStr">
        <is>
          <t>Ops &amp; Hire Pack</t>
        </is>
      </c>
    </row>
    <row r="44">
      <c r="A44" s="10" t="inlineStr">
        <is>
          <t>21 Test Credentials</t>
        </is>
      </c>
      <c r="B44" s="4" t="inlineStr">
        <is>
          <t>Placeholders only</t>
        </is>
      </c>
      <c r="C44" s="10" t="inlineStr">
        <is>
          <t>Open →</t>
        </is>
      </c>
    </row>
    <row r="45">
      <c r="A45" s="10" t="inlineStr">
        <is>
          <t>22 Environments</t>
        </is>
      </c>
      <c r="B45" s="4" t="inlineStr">
        <is>
          <t>URLs + secrets checklist</t>
        </is>
      </c>
      <c r="C45" s="10" t="inlineStr">
        <is>
          <t>Open →</t>
        </is>
      </c>
    </row>
    <row r="46">
      <c r="A46" s="10" t="inlineStr">
        <is>
          <t>QA Team</t>
        </is>
      </c>
      <c r="B46" s="4" t="inlineStr">
        <is>
          <t>Shreya Patil · Raj Balani</t>
        </is>
      </c>
      <c r="C46" s="10" t="inlineStr">
        <is>
          <t>Open →</t>
        </is>
      </c>
    </row>
    <row r="47">
      <c r="A47" s="10" t="inlineStr">
        <is>
          <t>00 Read Me</t>
        </is>
      </c>
      <c r="B47" s="4" t="inlineStr">
        <is>
          <t>How to use</t>
        </is>
      </c>
      <c r="C47" s="10" t="inlineStr">
        <is>
          <t>Open →</t>
        </is>
      </c>
    </row>
    <row r="48">
      <c r="A48" s="10" t="inlineStr">
        <is>
          <t>Lists</t>
        </is>
      </c>
      <c r="B48" s="4" t="inlineStr">
        <is>
          <t>Dropdown vocabulary</t>
        </is>
      </c>
      <c r="C48" s="10" t="inlineStr">
        <is>
          <t>Open →</t>
        </is>
      </c>
    </row>
  </sheetData>
  <mergeCells count="8">
    <mergeCell ref="A10:C10"/>
    <mergeCell ref="A1:D1"/>
    <mergeCell ref="A32:C32"/>
    <mergeCell ref="A38:C38"/>
    <mergeCell ref="A4:C4"/>
    <mergeCell ref="A43:C43"/>
    <mergeCell ref="A24:C24"/>
    <mergeCell ref="A16:C16"/>
  </mergeCells>
  <hyperlinks>
    <hyperlink xmlns:r="http://schemas.openxmlformats.org/officeDocument/2006/relationships" ref="J1" r:id="rId1"/>
    <hyperlink xmlns:r="http://schemas.openxmlformats.org/officeDocument/2006/relationships" ref="L1" r:id="rId2"/>
    <hyperlink xmlns:r="http://schemas.openxmlformats.org/officeDocument/2006/relationships" ref="M1" r:id="rId3"/>
    <hyperlink xmlns:r="http://schemas.openxmlformats.org/officeDocument/2006/relationships" ref="N1" r:id="rId4"/>
    <hyperlink xmlns:r="http://schemas.openxmlformats.org/officeDocument/2006/relationships" ref="O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  <hyperlink xmlns:r="http://schemas.openxmlformats.org/officeDocument/2006/relationships" ref="A5" r:id="rId11"/>
    <hyperlink xmlns:r="http://schemas.openxmlformats.org/officeDocument/2006/relationships" ref="C5" r:id="rId12"/>
    <hyperlink xmlns:r="http://schemas.openxmlformats.org/officeDocument/2006/relationships" ref="A6" r:id="rId13"/>
    <hyperlink xmlns:r="http://schemas.openxmlformats.org/officeDocument/2006/relationships" ref="C6" r:id="rId14"/>
    <hyperlink xmlns:r="http://schemas.openxmlformats.org/officeDocument/2006/relationships" ref="A7" r:id="rId15"/>
    <hyperlink xmlns:r="http://schemas.openxmlformats.org/officeDocument/2006/relationships" ref="C7" r:id="rId16"/>
    <hyperlink xmlns:r="http://schemas.openxmlformats.org/officeDocument/2006/relationships" ref="A8" r:id="rId17"/>
    <hyperlink xmlns:r="http://schemas.openxmlformats.org/officeDocument/2006/relationships" ref="C8" r:id="rId18"/>
    <hyperlink xmlns:r="http://schemas.openxmlformats.org/officeDocument/2006/relationships" ref="A11" r:id="rId19"/>
    <hyperlink xmlns:r="http://schemas.openxmlformats.org/officeDocument/2006/relationships" ref="C11" r:id="rId20"/>
    <hyperlink xmlns:r="http://schemas.openxmlformats.org/officeDocument/2006/relationships" ref="A12" r:id="rId21"/>
    <hyperlink xmlns:r="http://schemas.openxmlformats.org/officeDocument/2006/relationships" ref="C12" r:id="rId22"/>
    <hyperlink xmlns:r="http://schemas.openxmlformats.org/officeDocument/2006/relationships" ref="A13" r:id="rId23"/>
    <hyperlink xmlns:r="http://schemas.openxmlformats.org/officeDocument/2006/relationships" ref="C13" r:id="rId24"/>
    <hyperlink xmlns:r="http://schemas.openxmlformats.org/officeDocument/2006/relationships" ref="A14" r:id="rId25"/>
    <hyperlink xmlns:r="http://schemas.openxmlformats.org/officeDocument/2006/relationships" ref="C14" r:id="rId26"/>
    <hyperlink xmlns:r="http://schemas.openxmlformats.org/officeDocument/2006/relationships" ref="A17" r:id="rId27"/>
    <hyperlink xmlns:r="http://schemas.openxmlformats.org/officeDocument/2006/relationships" ref="C17" r:id="rId28"/>
    <hyperlink xmlns:r="http://schemas.openxmlformats.org/officeDocument/2006/relationships" ref="A18" r:id="rId29"/>
    <hyperlink xmlns:r="http://schemas.openxmlformats.org/officeDocument/2006/relationships" ref="C18" r:id="rId30"/>
    <hyperlink xmlns:r="http://schemas.openxmlformats.org/officeDocument/2006/relationships" ref="A19" r:id="rId31"/>
    <hyperlink xmlns:r="http://schemas.openxmlformats.org/officeDocument/2006/relationships" ref="C19" r:id="rId32"/>
    <hyperlink xmlns:r="http://schemas.openxmlformats.org/officeDocument/2006/relationships" ref="A20" r:id="rId33"/>
    <hyperlink xmlns:r="http://schemas.openxmlformats.org/officeDocument/2006/relationships" ref="C20" r:id="rId34"/>
    <hyperlink xmlns:r="http://schemas.openxmlformats.org/officeDocument/2006/relationships" ref="A21" r:id="rId35"/>
    <hyperlink xmlns:r="http://schemas.openxmlformats.org/officeDocument/2006/relationships" ref="C21" r:id="rId36"/>
    <hyperlink xmlns:r="http://schemas.openxmlformats.org/officeDocument/2006/relationships" ref="A22" r:id="rId37"/>
    <hyperlink xmlns:r="http://schemas.openxmlformats.org/officeDocument/2006/relationships" ref="C22" r:id="rId38"/>
    <hyperlink xmlns:r="http://schemas.openxmlformats.org/officeDocument/2006/relationships" ref="A25" r:id="rId39"/>
    <hyperlink xmlns:r="http://schemas.openxmlformats.org/officeDocument/2006/relationships" ref="C25" r:id="rId40"/>
    <hyperlink xmlns:r="http://schemas.openxmlformats.org/officeDocument/2006/relationships" ref="A26" r:id="rId41"/>
    <hyperlink xmlns:r="http://schemas.openxmlformats.org/officeDocument/2006/relationships" ref="C26" r:id="rId42"/>
    <hyperlink xmlns:r="http://schemas.openxmlformats.org/officeDocument/2006/relationships" ref="A27" r:id="rId43"/>
    <hyperlink xmlns:r="http://schemas.openxmlformats.org/officeDocument/2006/relationships" ref="C27" r:id="rId44"/>
    <hyperlink xmlns:r="http://schemas.openxmlformats.org/officeDocument/2006/relationships" ref="A28" r:id="rId45"/>
    <hyperlink xmlns:r="http://schemas.openxmlformats.org/officeDocument/2006/relationships" ref="C28" r:id="rId46"/>
    <hyperlink xmlns:r="http://schemas.openxmlformats.org/officeDocument/2006/relationships" ref="A29" r:id="rId47"/>
    <hyperlink xmlns:r="http://schemas.openxmlformats.org/officeDocument/2006/relationships" ref="C29" r:id="rId48"/>
    <hyperlink xmlns:r="http://schemas.openxmlformats.org/officeDocument/2006/relationships" ref="A30" r:id="rId49"/>
    <hyperlink xmlns:r="http://schemas.openxmlformats.org/officeDocument/2006/relationships" ref="C30" r:id="rId50"/>
    <hyperlink xmlns:r="http://schemas.openxmlformats.org/officeDocument/2006/relationships" ref="A33" r:id="rId51"/>
    <hyperlink xmlns:r="http://schemas.openxmlformats.org/officeDocument/2006/relationships" ref="C33" r:id="rId52"/>
    <hyperlink xmlns:r="http://schemas.openxmlformats.org/officeDocument/2006/relationships" ref="A34" r:id="rId53"/>
    <hyperlink xmlns:r="http://schemas.openxmlformats.org/officeDocument/2006/relationships" ref="C34" r:id="rId54"/>
    <hyperlink xmlns:r="http://schemas.openxmlformats.org/officeDocument/2006/relationships" ref="A35" r:id="rId55"/>
    <hyperlink xmlns:r="http://schemas.openxmlformats.org/officeDocument/2006/relationships" ref="C35" r:id="rId56"/>
    <hyperlink xmlns:r="http://schemas.openxmlformats.org/officeDocument/2006/relationships" ref="A36" r:id="rId57"/>
    <hyperlink xmlns:r="http://schemas.openxmlformats.org/officeDocument/2006/relationships" ref="C36" r:id="rId58"/>
    <hyperlink xmlns:r="http://schemas.openxmlformats.org/officeDocument/2006/relationships" ref="A39" r:id="rId59"/>
    <hyperlink xmlns:r="http://schemas.openxmlformats.org/officeDocument/2006/relationships" ref="C39" r:id="rId60"/>
    <hyperlink xmlns:r="http://schemas.openxmlformats.org/officeDocument/2006/relationships" ref="A40" r:id="rId61"/>
    <hyperlink xmlns:r="http://schemas.openxmlformats.org/officeDocument/2006/relationships" ref="C40" r:id="rId62"/>
    <hyperlink xmlns:r="http://schemas.openxmlformats.org/officeDocument/2006/relationships" ref="A41" r:id="rId63"/>
    <hyperlink xmlns:r="http://schemas.openxmlformats.org/officeDocument/2006/relationships" ref="C41" r:id="rId64"/>
    <hyperlink xmlns:r="http://schemas.openxmlformats.org/officeDocument/2006/relationships" ref="A44" r:id="rId65"/>
    <hyperlink xmlns:r="http://schemas.openxmlformats.org/officeDocument/2006/relationships" ref="C44" r:id="rId66"/>
    <hyperlink xmlns:r="http://schemas.openxmlformats.org/officeDocument/2006/relationships" ref="A45" r:id="rId67"/>
    <hyperlink xmlns:r="http://schemas.openxmlformats.org/officeDocument/2006/relationships" ref="C45" r:id="rId68"/>
    <hyperlink xmlns:r="http://schemas.openxmlformats.org/officeDocument/2006/relationships" ref="A46" r:id="rId69"/>
    <hyperlink xmlns:r="http://schemas.openxmlformats.org/officeDocument/2006/relationships" ref="C46" r:id="rId70"/>
    <hyperlink xmlns:r="http://schemas.openxmlformats.org/officeDocument/2006/relationships" ref="A47" r:id="rId71"/>
    <hyperlink xmlns:r="http://schemas.openxmlformats.org/officeDocument/2006/relationships" ref="C47" r:id="rId72"/>
    <hyperlink xmlns:r="http://schemas.openxmlformats.org/officeDocument/2006/relationships" ref="A48" r:id="rId73"/>
    <hyperlink xmlns:r="http://schemas.openxmlformats.org/officeDocument/2006/relationships" ref="C48" r:id="rId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2" customWidth="1" min="2" max="2"/>
    <col width="16" customWidth="1" min="3" max="3"/>
    <col width="22" customWidth="1" min="4" max="4"/>
    <col width="28" customWidth="1" min="6" max="6"/>
    <col width="14" customWidth="1" min="7" max="7"/>
    <col width="14" customWidth="1" min="9" max="9"/>
    <col width="12" customWidth="1" min="10" max="10"/>
    <col width="10" customWidth="1" min="11" max="11"/>
    <col width="16" customWidth="1" min="14" max="14"/>
    <col width="12" customWidth="1" min="15" max="15"/>
  </cols>
  <sheetData>
    <row r="1">
      <c r="A1" s="1" t="inlineStr">
        <is>
          <t>Clarify AI — QA Executive Dashboard (Power BI style)</t>
        </is>
      </c>
      <c r="J1" s="11" t="inlineStr">
        <is>
          <t>● 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12" t="inlineStr">
        <is>
          <t>Synced 2026-07-29 · Formula KPIs + inventory snapshot · Use AutoFilter on Features/Bugs as slicers · Click NAV Hub for sheet map</t>
        </is>
      </c>
    </row>
    <row r="3">
      <c r="A3" s="14" t="inlineStr">
        <is>
          <t>KEY PERFORMANCE INDICATORS</t>
        </is>
      </c>
      <c r="F3" s="14" t="inlineStr">
        <is>
          <t>Count</t>
        </is>
      </c>
      <c r="I3" s="14" t="inlineStr">
        <is>
          <t>Daily Progress</t>
        </is>
      </c>
      <c r="N3" s="14" t="inlineStr">
        <is>
          <t>QA Person</t>
        </is>
      </c>
      <c r="O3" t="inlineStr">
        <is>
          <t>Actual Hours</t>
        </is>
      </c>
    </row>
    <row r="4">
      <c r="A4" s="15" t="inlineStr">
        <is>
          <t>Total Modules</t>
        </is>
      </c>
      <c r="B4" s="16">
        <f>IFERROR(COUNTA('02 Module Master'!A3:A5000)-COUNTIF('02 Module Master'!A3:A5000,"TOTAL"),0)</f>
        <v/>
      </c>
      <c r="C4" s="14" t="inlineStr">
        <is>
          <t>PROGRESS BARS</t>
        </is>
      </c>
      <c r="F4" t="inlineStr">
        <is>
          <t>Passed</t>
        </is>
      </c>
      <c r="G4">
        <f>IFERROR(B7,0)</f>
        <v/>
      </c>
      <c r="I4" s="15" t="inlineStr">
        <is>
          <t>Date</t>
        </is>
      </c>
      <c r="J4" s="17" t="inlineStr">
        <is>
          <t>Executed</t>
        </is>
      </c>
      <c r="K4" t="inlineStr">
        <is>
          <t>Passed</t>
        </is>
      </c>
      <c r="L4" t="inlineStr">
        <is>
          <t>Hours</t>
        </is>
      </c>
      <c r="N4" t="inlineStr">
        <is>
          <t>Shreya Patil</t>
        </is>
      </c>
      <c r="O4">
        <f>IFERROR(SUMIF('04 Test Case Repository'!S$3:S$5000,N4,'04 Test Case Repository'!U$3:U$5000),0)</f>
        <v/>
      </c>
    </row>
    <row r="5">
      <c r="A5" s="15" t="inlineStr">
        <is>
          <t>Total Features</t>
        </is>
      </c>
      <c r="B5" s="16">
        <f>IFERROR(COUNTA('03 Feature Inventory'!A3:A5000)-COUNTIF('03 Feature Inventory'!A3:A5000,"TOTAL"),0)</f>
        <v/>
      </c>
      <c r="C5" s="18" t="inlineStr">
        <is>
          <t>Pass Rate</t>
        </is>
      </c>
      <c r="D5" s="19">
        <f>IFERROR(REPT("#",MAX(0,MIN(10,ROUND(N(B16)*10,0))))&amp;REPT("-",10-MAX(0,MIN(10,ROUND(N(B16)*10,0)))),REPT("-",10))</f>
        <v/>
      </c>
      <c r="F5" t="inlineStr">
        <is>
          <t>Failed</t>
        </is>
      </c>
      <c r="G5">
        <f>IFERROR(B8,0)</f>
        <v/>
      </c>
      <c r="I5" s="15">
        <f>IFERROR('Daily Log'!A3,"")</f>
        <v/>
      </c>
      <c r="J5" s="17">
        <f>IFERROR('Daily Log'!C3,0)</f>
        <v/>
      </c>
      <c r="K5">
        <f>IFERROR('Daily Log'!D3,0)</f>
        <v/>
      </c>
      <c r="L5">
        <f>IFERROR('Daily Log'!I3,0)</f>
        <v/>
      </c>
      <c r="N5" t="inlineStr">
        <is>
          <t>Raj Balani</t>
        </is>
      </c>
      <c r="O5">
        <f>IFERROR(SUMIF('04 Test Case Repository'!S$3:S$5000,N5,'04 Test Case Repository'!U$3:U$5000),0)</f>
        <v/>
      </c>
    </row>
    <row r="6">
      <c r="A6" s="15" t="inlineStr">
        <is>
          <t>Total Test Cases</t>
        </is>
      </c>
      <c r="B6" s="16">
        <f>IFERROR(COUNTA('04 Test Case Repository'!A3:A5000)-COUNTIF('04 Test Case Repository'!A3:A5000,"TOTAL"),0)</f>
        <v/>
      </c>
      <c r="C6" s="18" t="inlineStr">
        <is>
          <t>QA Progress</t>
        </is>
      </c>
      <c r="D6" s="19">
        <f>IFERROR(REPT("#",MAX(0,MIN(10,ROUND(N(B18)*10,0))))&amp;REPT("-",10-MAX(0,MIN(10,ROUND(N(B18)*10,0)))),REPT("-",10))</f>
        <v/>
      </c>
      <c r="F6" t="inlineStr">
        <is>
          <t>Blocked</t>
        </is>
      </c>
      <c r="G6">
        <f>IFERROR(B9,0)</f>
        <v/>
      </c>
      <c r="I6" s="15">
        <f>IFERROR('Daily Log'!A4,"")</f>
        <v/>
      </c>
      <c r="J6" s="17">
        <f>IFERROR('Daily Log'!C4,0)</f>
        <v/>
      </c>
      <c r="K6">
        <f>IFERROR('Daily Log'!D4,0)</f>
        <v/>
      </c>
      <c r="L6">
        <f>IFERROR('Daily Log'!I4,0)</f>
        <v/>
      </c>
    </row>
    <row r="7">
      <c r="A7" s="15" t="inlineStr">
        <is>
          <t>Passed</t>
        </is>
      </c>
      <c r="B7" s="16">
        <f>IFERROR(COUNTIF('04 Test Case Repository'!P3:P5000,"Pass"),0)</f>
        <v/>
      </c>
      <c r="C7" s="18" t="inlineStr">
        <is>
          <t>Prod Ready</t>
        </is>
      </c>
      <c r="D7" s="19">
        <f>IFERROR(REPT("#",MAX(0,MIN(10,ROUND(N(B19)*10,0))))&amp;REPT("-",10-MAX(0,MIN(10,ROUND(N(B19)*10,0)))),REPT("-",10))</f>
        <v/>
      </c>
      <c r="F7" t="inlineStr">
        <is>
          <t>Not Executed</t>
        </is>
      </c>
      <c r="G7">
        <f>IFERROR(B10,0)</f>
        <v/>
      </c>
      <c r="I7" s="15">
        <f>IFERROR('Daily Log'!A5,"")</f>
        <v/>
      </c>
      <c r="J7" s="20">
        <f>IFERROR('Daily Log'!C5,0)</f>
        <v/>
      </c>
      <c r="K7">
        <f>IFERROR('Daily Log'!D5,0)</f>
        <v/>
      </c>
      <c r="L7">
        <f>IFERROR('Daily Log'!I5,0)</f>
        <v/>
      </c>
    </row>
    <row r="8">
      <c r="A8" s="15" t="inlineStr">
        <is>
          <t>Failed</t>
        </is>
      </c>
      <c r="B8" s="16">
        <f>IFERROR(COUNTIF('04 Test Case Repository'!P3:P5000,"Fail"),0)</f>
        <v/>
      </c>
      <c r="C8" s="18" t="inlineStr">
        <is>
          <t>Module Complete</t>
        </is>
      </c>
      <c r="D8" s="19">
        <f>IFERROR(REPT("#",MAX(0,MIN(10,ROUND(IFERROR(COUNTIF('02 Module Master'!H3:H5000,"Completed")/MAX(1,COUNTA('02 Module Master'!A3:A5000)),0)*10,0))))&amp;REPT("-",10-MAX(0,MIN(10,ROUND(IFERROR(COUNTIF('02 Module Master'!H3:H5000,"Completed")/MAX(1,COUNTA('02 Module Master'!A3:A5000)),0)*10,0)))),REPT("-",10))</f>
        <v/>
      </c>
      <c r="I8" s="15">
        <f>IFERROR('Daily Log'!A6,"")</f>
        <v/>
      </c>
      <c r="J8" s="21">
        <f>IFERROR('Daily Log'!C6,0)</f>
        <v/>
      </c>
      <c r="K8">
        <f>IFERROR('Daily Log'!D6,0)</f>
        <v/>
      </c>
      <c r="L8">
        <f>IFERROR('Daily Log'!I6,0)</f>
        <v/>
      </c>
    </row>
    <row r="9">
      <c r="A9" s="15" t="inlineStr">
        <is>
          <t>Blocked</t>
        </is>
      </c>
      <c r="B9" s="16">
        <f>IFERROR(COUNTIF('04 Test Case Repository'!P3:P5000,"Blocked"),0)</f>
        <v/>
      </c>
      <c r="C9" s="18" t="inlineStr">
        <is>
          <t>Hours Burn</t>
        </is>
      </c>
      <c r="D9" s="19">
        <f>IFERROR(REPT("#",MAX(0,MIN(10,ROUND(IF(B20=0,0,MIN(1,B21/B20))*10,0))))&amp;REPT("-",10-MAX(0,MIN(10,ROUND(IF(B20=0,0,MIN(1,B21/B20))*10,0)))),REPT("-",10))</f>
        <v/>
      </c>
      <c r="F9" s="14" t="inlineStr">
        <is>
          <t>Count</t>
        </is>
      </c>
      <c r="I9" s="15">
        <f>IFERROR('Daily Log'!A7,"")</f>
        <v/>
      </c>
      <c r="J9" s="22">
        <f>IFERROR('Daily Log'!C7,0)</f>
        <v/>
      </c>
      <c r="K9">
        <f>IFERROR('Daily Log'!D7,0)</f>
        <v/>
      </c>
      <c r="L9">
        <f>IFERROR('Daily Log'!I7,0)</f>
        <v/>
      </c>
    </row>
    <row r="10">
      <c r="A10" s="15" t="inlineStr">
        <is>
          <t>Not Executed</t>
        </is>
      </c>
      <c r="B10" s="16">
        <f>IFERROR(COUNTIF('04 Test Case Repository'!P3:P5000,"Not Run"),0)</f>
        <v/>
      </c>
      <c r="F10" t="inlineStr">
        <is>
          <t>Critical</t>
        </is>
      </c>
      <c r="G10">
        <f>IFERROR(B12,0)</f>
        <v/>
      </c>
      <c r="I10">
        <f>IFERROR('Daily Log'!A8,"")</f>
        <v/>
      </c>
      <c r="J10">
        <f>IFERROR('Daily Log'!C8,0)</f>
        <v/>
      </c>
      <c r="K10">
        <f>IFERROR('Daily Log'!D8,0)</f>
        <v/>
      </c>
      <c r="L10">
        <f>IFERROR('Daily Log'!I8,0)</f>
        <v/>
      </c>
    </row>
    <row r="11">
      <c r="A11" s="15" t="inlineStr">
        <is>
          <t>In Progress</t>
        </is>
      </c>
      <c r="B11" s="16">
        <f>IFERROR(COUNTIF('04 Test Case Repository'!Q3:Q5000,"In Progress"),0)</f>
        <v/>
      </c>
      <c r="F11" t="inlineStr">
        <is>
          <t>High</t>
        </is>
      </c>
      <c r="G11">
        <f>IFERROR(B13,0)</f>
        <v/>
      </c>
      <c r="I11" s="14">
        <f>IFERROR('Daily Log'!A9,"")</f>
        <v/>
      </c>
      <c r="J11">
        <f>IFERROR('Daily Log'!C9,0)</f>
        <v/>
      </c>
      <c r="K11">
        <f>IFERROR('Daily Log'!D9,0)</f>
        <v/>
      </c>
      <c r="L11">
        <f>IFERROR('Daily Log'!I9,0)</f>
        <v/>
      </c>
    </row>
    <row r="12">
      <c r="A12" s="15" t="inlineStr">
        <is>
          <t>Critical Bugs</t>
        </is>
      </c>
      <c r="B12" s="16">
        <f>IFERROR(COUNTIFS('06 Bug Tracker'!J3:J5000,"Critical",'06 Bug Tracker'!L3:L5000,"&lt;&gt;Closed"),0)</f>
        <v/>
      </c>
      <c r="F12" t="inlineStr">
        <is>
          <t>Medium</t>
        </is>
      </c>
      <c r="G12">
        <f>IFERROR(B14,0)</f>
        <v/>
      </c>
      <c r="I12" s="10" t="inlineStr">
        <is>
          <t>Open NAV Hub</t>
        </is>
      </c>
    </row>
    <row r="13">
      <c r="A13" s="15" t="inlineStr">
        <is>
          <t>High Bugs</t>
        </is>
      </c>
      <c r="B13" s="16">
        <f>IFERROR(COUNTIFS('06 Bug Tracker'!J3:J5000,"High",'06 Bug Tracker'!L3:L5000,"&lt;&gt;Closed"),0)</f>
        <v/>
      </c>
      <c r="F13" t="inlineStr">
        <is>
          <t>Low</t>
        </is>
      </c>
      <c r="G13">
        <f>IFERROR(B15,0)</f>
        <v/>
      </c>
      <c r="I13" s="10" t="inlineStr">
        <is>
          <t>QA Tasks (Shreya/Raj)</t>
        </is>
      </c>
    </row>
    <row r="14">
      <c r="A14" s="15" t="inlineStr">
        <is>
          <t>Medium Bugs</t>
        </is>
      </c>
      <c r="B14" s="16">
        <f>IFERROR(COUNTIFS('06 Bug Tracker'!J3:J5000,"Medium",'06 Bug Tracker'!L3:L5000,"&lt;&gt;Closed"),0)</f>
        <v/>
      </c>
      <c r="I14" s="10" t="inlineStr">
        <is>
          <t>Dev Tasks (bug mirror)</t>
        </is>
      </c>
    </row>
    <row r="15">
      <c r="A15" s="15" t="inlineStr">
        <is>
          <t>Low Bugs</t>
        </is>
      </c>
      <c r="B15" s="16">
        <f>IFERROR(COUNTIFS('06 Bug Tracker'!J3:J5000,"Low",'06 Bug Tracker'!L3:L5000,"&lt;&gt;Closed"),0)</f>
        <v/>
      </c>
      <c r="F15" s="14" t="inlineStr">
        <is>
          <t>Module</t>
        </is>
      </c>
      <c r="G15" s="14" t="inlineStr">
        <is>
          <t>Completion %</t>
        </is>
      </c>
      <c r="I15" s="10" t="inlineStr">
        <is>
          <t>Bug Tracker</t>
        </is>
      </c>
    </row>
    <row r="16">
      <c r="A16" s="15" t="inlineStr">
        <is>
          <t>Overall Pass %</t>
        </is>
      </c>
      <c r="B16" s="23">
        <f>IFERROR(IF((B7+B8+B9)=0,0,B7/(B7+B8+B9)),0)</f>
        <v/>
      </c>
      <c r="F16" t="inlineStr">
        <is>
          <t>Auth &amp; Onboarding</t>
        </is>
      </c>
      <c r="G16" s="24">
        <f>IFERROR(IF('02 Module Master'!I3=0,0,'02 Module Master'!J3/'02 Module Master'!I3),0)</f>
        <v/>
      </c>
      <c r="I16" s="10" t="inlineStr">
        <is>
          <t>Smoke Pack</t>
        </is>
      </c>
    </row>
    <row r="17">
      <c r="A17" s="15" t="inlineStr">
        <is>
          <t>Overall Fail %</t>
        </is>
      </c>
      <c r="B17" s="23">
        <f>IFERROR(IF((B7+B8+B9)=0,0,B8/(B7+B8+B9)),0)</f>
        <v/>
      </c>
      <c r="F17" t="inlineStr">
        <is>
          <t>Dashboard</t>
        </is>
      </c>
      <c r="G17" s="24">
        <f>IFERROR(IF('02 Module Master'!I4=0,0,'02 Module Master'!J4/'02 Module Master'!I4),0)</f>
        <v/>
      </c>
      <c r="I17" s="10" t="inlineStr">
        <is>
          <t>Launch Status</t>
        </is>
      </c>
    </row>
    <row r="18">
      <c r="A18" s="15" t="inlineStr">
        <is>
          <t>QA Progress %</t>
        </is>
      </c>
      <c r="B18" s="23">
        <f>IFERROR(IF(B6=0,0,(B7+B8+B9+B11)/B6),0)</f>
        <v/>
      </c>
      <c r="F18" t="inlineStr">
        <is>
          <t>Live Practice Coach</t>
        </is>
      </c>
      <c r="G18" s="24">
        <f>IFERROR(IF('02 Module Master'!I5=0,0,'02 Module Master'!J5/'02 Module Master'!I5),0)</f>
        <v/>
      </c>
    </row>
    <row r="19">
      <c r="A19" s="15" t="inlineStr">
        <is>
          <t>Production Readiness %</t>
        </is>
      </c>
      <c r="B19" s="23">
        <f>IFERROR(AVERAGEIF('19 Production Readiness'!A3:A5000,"&lt;&gt;",'19 Production Readiness'!R3:R5000),0)</f>
        <v/>
      </c>
      <c r="F19" t="inlineStr">
        <is>
          <t>Mock Interview</t>
        </is>
      </c>
      <c r="G19" s="24">
        <f>IFERROR(IF('02 Module Master'!I6=0,0,'02 Module Master'!J6/'02 Module Master'!I6),0)</f>
        <v/>
      </c>
    </row>
    <row r="20">
      <c r="A20" s="15" t="inlineStr">
        <is>
          <t>Est Hours (Total)</t>
        </is>
      </c>
      <c r="B20" s="25">
        <f>IFERROR(SUM('04 Test Case Repository'!T3:T5000),0)</f>
        <v/>
      </c>
      <c r="F20" t="inlineStr">
        <is>
          <t>Sessions &amp; Debriefs</t>
        </is>
      </c>
      <c r="G20" s="24">
        <f>IFERROR(IF('02 Module Master'!I7=0,0,'02 Module Master'!J7/'02 Module Master'!I7),0)</f>
        <v/>
      </c>
    </row>
    <row r="21">
      <c r="A21" s="15" t="inlineStr">
        <is>
          <t>Actual Hours (Total)</t>
        </is>
      </c>
      <c r="B21" s="25">
        <f>IFERROR(SUM('04 Test Case Repository'!U3:U5000),0)</f>
        <v/>
      </c>
      <c r="F21" t="inlineStr">
        <is>
          <t>Analytics &amp; Usage</t>
        </is>
      </c>
      <c r="G21" s="24">
        <f>IFERROR(IF('02 Module Master'!I8=0,0,'02 Module Master'!J8/'02 Module Master'!I8),0)</f>
        <v/>
      </c>
    </row>
    <row r="22">
      <c r="A22" s="15" t="inlineStr">
        <is>
          <t>Hours Variance</t>
        </is>
      </c>
      <c r="B22" s="25">
        <f>IFERROR(B21-B20,0)</f>
        <v/>
      </c>
      <c r="F22" t="inlineStr">
        <is>
          <t>Prep Lab</t>
        </is>
      </c>
      <c r="G22" s="24">
        <f>IFERROR(IF('02 Module Master'!I9=0,0,'02 Module Master'!J9/'02 Module Master'!I9),0)</f>
        <v/>
      </c>
    </row>
    <row r="23">
      <c r="A23" s="15" t="inlineStr">
        <is>
          <t>QA Team Size</t>
        </is>
      </c>
      <c r="B23" s="16">
        <f>IFERROR(COUNTA('QA Team'!A3:A50)-COUNTIF('QA Team'!A3:A50,"TOTAL"),0)</f>
        <v/>
      </c>
      <c r="F23" t="inlineStr">
        <is>
          <t>Documents &amp; Resumes</t>
        </is>
      </c>
      <c r="G23" s="24">
        <f>IFERROR(IF('02 Module Master'!I10=0,0,'02 Module Master'!J10/'02 Module Master'!I10),0)</f>
        <v/>
      </c>
    </row>
    <row r="24">
      <c r="A24" s="15" t="inlineStr">
        <is>
          <t>QA Tasks Open</t>
        </is>
      </c>
      <c r="B24" s="16">
        <f>IFERROR(COUNTIFS('QA Tasks'!H3:H5000,"&lt;&gt;Done",'QA Tasks'!H3:H5000,"&lt;&gt;"),0)</f>
        <v/>
      </c>
      <c r="F24" t="inlineStr">
        <is>
          <t>Answer Bank</t>
        </is>
      </c>
      <c r="G24" s="24">
        <f>IFERROR(IF('02 Module Master'!I11=0,0,'02 Module Master'!J11/'02 Module Master'!I11),0)</f>
        <v/>
      </c>
    </row>
    <row r="25">
      <c r="A25" s="15" t="inlineStr">
        <is>
          <t>Dev Action Queue</t>
        </is>
      </c>
      <c r="B25" s="16">
        <f>IFERROR(COUNTIF('Dev Tasks'!I3:I152,"Yes"),0)</f>
        <v/>
      </c>
      <c r="F25" t="inlineStr">
        <is>
          <t>Interviews &amp; Calendar</t>
        </is>
      </c>
      <c r="G25" s="24">
        <f>IFERROR(IF('02 Module Master'!I12=0,0,'02 Module Master'!J12/'02 Module Master'!I12),0)</f>
        <v/>
      </c>
    </row>
    <row r="26">
      <c r="A26" s="15" t="inlineStr">
        <is>
          <t>Shreya Open Bugs</t>
        </is>
      </c>
      <c r="B26" s="16">
        <f>IFERROR(COUNTIFS('06 Bug Tracker'!N3:N5000,"Shreya Patil",'06 Bug Tracker'!L3:L5000,"&lt;&gt;Closed",'06 Bug Tracker'!L3:L5000,"&lt;&gt;Won't Fix"),0)</f>
        <v/>
      </c>
      <c r="F26" t="inlineStr">
        <is>
          <t>Company Research</t>
        </is>
      </c>
      <c r="G26" s="24">
        <f>IFERROR(IF('02 Module Master'!I13=0,0,'02 Module Master'!J13/'02 Module Master'!I13),0)</f>
        <v/>
      </c>
    </row>
    <row r="27">
      <c r="A27" s="15" t="inlineStr">
        <is>
          <t>Raj Open Bugs</t>
        </is>
      </c>
      <c r="B27" s="16">
        <f>IFERROR(COUNTIFS('06 Bug Tracker'!N3:N5000,"Raj Balani",'06 Bug Tracker'!L3:L5000,"&lt;&gt;Closed",'06 Bug Tracker'!L3:L5000,"&lt;&gt;Won't Fix"),0)</f>
        <v/>
      </c>
      <c r="F27" t="inlineStr">
        <is>
          <t>Notifications &amp; Profile</t>
        </is>
      </c>
      <c r="G27" s="24">
        <f>IFERROR(IF('02 Module Master'!I14=0,0,'02 Module Master'!J14/'02 Module Master'!I14),0)</f>
        <v/>
      </c>
    </row>
    <row r="28">
      <c r="F28" t="inlineStr">
        <is>
          <t>Referrals &amp; Guide</t>
        </is>
      </c>
      <c r="G28" s="24">
        <f>IFERROR(IF('02 Module Master'!I15=0,0,'02 Module Master'!J15/'02 Module Master'!I15),0)</f>
        <v/>
      </c>
    </row>
    <row r="29">
      <c r="F29" t="inlineStr">
        <is>
          <t>Gov Exam Mock Tests</t>
        </is>
      </c>
      <c r="G29" s="24">
        <f>IFERROR(IF('02 Module Master'!I16=0,0,'02 Module Master'!J16/'02 Module Master'!I16),0)</f>
        <v/>
      </c>
    </row>
    <row r="30">
      <c r="F30" t="inlineStr">
        <is>
          <t>Settings</t>
        </is>
      </c>
      <c r="G30" s="24">
        <f>IFERROR(IF('02 Module Master'!I17=0,0,'02 Module Master'!J17/'02 Module Master'!I17),0)</f>
        <v/>
      </c>
    </row>
    <row r="31">
      <c r="F31" t="inlineStr">
        <is>
          <t>Admin Portal</t>
        </is>
      </c>
      <c r="G31" s="24">
        <f>IFERROR(IF('02 Module Master'!I18=0,0,'02 Module Master'!J18/'02 Module Master'!I18),0)</f>
        <v/>
      </c>
    </row>
    <row r="32">
      <c r="F32" t="inlineStr">
        <is>
          <t>Marketing Site</t>
        </is>
      </c>
      <c r="G32" s="24">
        <f>IFERROR(IF('02 Module Master'!I19=0,0,'02 Module Master'!J19/'02 Module Master'!I19),0)</f>
        <v/>
      </c>
    </row>
    <row r="33">
      <c r="F33" t="inlineStr">
        <is>
          <t>Billing &amp; Credits</t>
        </is>
      </c>
      <c r="G33" s="24">
        <f>IFERROR(IF('02 Module Master'!I20=0,0,'02 Module Master'!J20/'02 Module Master'!I20),0)</f>
        <v/>
      </c>
    </row>
    <row r="34">
      <c r="F34" t="inlineStr">
        <is>
          <t>Electron Desktop Overlay</t>
        </is>
      </c>
      <c r="G34" s="24">
        <f>IFERROR(IF('02 Module Master'!I21=0,0,'02 Module Master'!J21/'02 Module Master'!I21),0)</f>
        <v/>
      </c>
    </row>
    <row r="35">
      <c r="F35" t="inlineStr">
        <is>
          <t>Security &amp; Platform</t>
        </is>
      </c>
      <c r="G35" s="24">
        <f>IFERROR(IF('02 Module Master'!I22=0,0,'02 Module Master'!J22/'02 Module Master'!I22),0)</f>
        <v/>
      </c>
    </row>
  </sheetData>
  <mergeCells count="1">
    <mergeCell ref="A1:F1"/>
  </mergeCells>
  <hyperlinks>
    <hyperlink xmlns:r="http://schemas.openxmlformats.org/officeDocument/2006/relationships" ref="K1" r:id="rId1"/>
    <hyperlink xmlns:r="http://schemas.openxmlformats.org/officeDocument/2006/relationships" ref="L1" r:id="rId2"/>
    <hyperlink xmlns:r="http://schemas.openxmlformats.org/officeDocument/2006/relationships" ref="M1" r:id="rId3"/>
    <hyperlink xmlns:r="http://schemas.openxmlformats.org/officeDocument/2006/relationships" ref="N1" r:id="rId4"/>
    <hyperlink xmlns:r="http://schemas.openxmlformats.org/officeDocument/2006/relationships" ref="O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</hyperlinks>
  <pageMargins left="0.75" right="0.75" top="1" bottom="1" header="0.5" footer="0.5"/>
  <drawing xmlns:r="http://schemas.openxmlformats.org/officeDocument/2006/relationships" r:id="rId17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4" customWidth="1" min="2" max="2"/>
    <col width="26" customWidth="1" min="3" max="3"/>
    <col width="12" customWidth="1" min="4" max="4"/>
    <col width="36" customWidth="1" min="5" max="5"/>
    <col width="35" customWidth="1" min="6" max="6"/>
    <col width="12" customWidth="1" min="7" max="7"/>
    <col width="13" customWidth="1" min="8" max="8"/>
    <col width="12" customWidth="1" min="9" max="9"/>
    <col width="12" customWidth="1" min="10" max="10"/>
    <col width="14" customWidth="1" min="11" max="11"/>
    <col width="15" customWidth="1" min="12" max="12"/>
    <col width="36" customWidth="1" min="13" max="13"/>
    <col width="36" customWidth="1" min="14" max="14"/>
  </cols>
  <sheetData>
    <row r="1">
      <c r="A1" s="1" t="inlineStr">
        <is>
          <t>QA Tasks — Shreya Patil &amp; Raj Balani work queue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Task ID</t>
        </is>
      </c>
      <c r="B2" s="26" t="inlineStr">
        <is>
          <t>QA Owner</t>
        </is>
      </c>
      <c r="C2" s="26" t="inlineStr">
        <is>
          <t>Module</t>
        </is>
      </c>
      <c r="D2" s="26" t="inlineStr">
        <is>
          <t>Task Type</t>
        </is>
      </c>
      <c r="E2" s="26" t="inlineStr">
        <is>
          <t>Title</t>
        </is>
      </c>
      <c r="F2" s="26" t="inlineStr">
        <is>
          <t>Linked TC / Flow</t>
        </is>
      </c>
      <c r="G2" s="26" t="inlineStr">
        <is>
          <t>Priority</t>
        </is>
      </c>
      <c r="H2" s="26" t="inlineStr">
        <is>
          <t>Status</t>
        </is>
      </c>
      <c r="I2" s="26" t="inlineStr">
        <is>
          <t>Due Date</t>
        </is>
      </c>
      <c r="J2" s="26" t="inlineStr">
        <is>
          <t>Est Hours</t>
        </is>
      </c>
      <c r="K2" s="26" t="inlineStr">
        <is>
          <t>Actual Hours</t>
        </is>
      </c>
      <c r="L2" s="26" t="inlineStr">
        <is>
          <t>Linked Bug ID</t>
        </is>
      </c>
      <c r="M2" s="26" t="inlineStr">
        <is>
          <t>Fails Linked (auto)</t>
        </is>
      </c>
      <c r="N2" s="26" t="inlineStr">
        <is>
          <t>Notes</t>
        </is>
      </c>
    </row>
    <row r="3">
      <c r="A3" s="27" t="inlineStr">
        <is>
          <t>QAT-001</t>
        </is>
      </c>
      <c r="B3" s="27" t="inlineStr">
        <is>
          <t>Raj Balani</t>
        </is>
      </c>
      <c r="C3" s="27" t="inlineStr">
        <is>
          <t>Auth &amp; Onboarding</t>
        </is>
      </c>
      <c r="D3" s="27" t="inlineStr">
        <is>
          <t>Functional</t>
        </is>
      </c>
      <c r="E3" s="27" t="inlineStr">
        <is>
          <t>Execute Auth &amp; Onboarding pack — Email/OAuth login, MFA, 5-step onboarding</t>
        </is>
      </c>
      <c r="F3" s="27" t="inlineStr">
        <is>
          <t>See 04 / domain sheets for MOD-01</t>
        </is>
      </c>
      <c r="G3" s="27" t="inlineStr">
        <is>
          <t>Critical</t>
        </is>
      </c>
      <c r="H3" s="27" t="inlineStr">
        <is>
          <t>Not Started</t>
        </is>
      </c>
      <c r="I3" s="28" t="n">
        <v>46240</v>
      </c>
      <c r="J3" s="27" t="n">
        <v>4</v>
      </c>
      <c r="K3" s="27" t="n">
        <v>0</v>
      </c>
      <c r="L3" s="27" t="inlineStr"/>
      <c r="M3" s="27">
        <f>IFERROR(COUNTIFS('06 Bug Tracker'!N$3:N$5000,B3,'06 Bug Tracker'!L$3:L$5000,"&lt;&gt;Closed",'06 Bug Tracker'!L$3:L$5000,"&lt;&gt;Won't Fix",'06 Bug Tracker'!L$3:L$5000,"&lt;&gt;Duplicate"),0)</f>
        <v/>
      </c>
      <c r="N3" s="27" t="inlineStr">
        <is>
          <t>Mark Fail on TC → create Bug in 06 → Bug ID appears here &amp; on Dev Tasks</t>
        </is>
      </c>
    </row>
    <row r="4">
      <c r="A4" s="29" t="inlineStr">
        <is>
          <t>QAT-002</t>
        </is>
      </c>
      <c r="B4" s="29" t="inlineStr">
        <is>
          <t>Shreya Patil</t>
        </is>
      </c>
      <c r="C4" s="29" t="inlineStr">
        <is>
          <t>Dashboard</t>
        </is>
      </c>
      <c r="D4" s="29" t="inlineStr">
        <is>
          <t>Functional</t>
        </is>
      </c>
      <c r="E4" s="29" t="inlineStr">
        <is>
          <t>Execute Dashboard pack — Home KPIs, sessions, credits, upcoming interview</t>
        </is>
      </c>
      <c r="F4" s="29" t="inlineStr">
        <is>
          <t>See 04 / domain sheets for MOD-02</t>
        </is>
      </c>
      <c r="G4" s="29" t="inlineStr">
        <is>
          <t>High</t>
        </is>
      </c>
      <c r="H4" s="29" t="inlineStr">
        <is>
          <t>Not Started</t>
        </is>
      </c>
      <c r="I4" s="30" t="n">
        <v>46241</v>
      </c>
      <c r="J4" s="29" t="n">
        <v>4</v>
      </c>
      <c r="K4" s="29" t="n">
        <v>0</v>
      </c>
      <c r="L4" s="29" t="inlineStr"/>
      <c r="M4" s="29">
        <f>IFERROR(COUNTIFS('06 Bug Tracker'!N$3:N$5000,B4,'06 Bug Tracker'!L$3:L$5000,"&lt;&gt;Closed",'06 Bug Tracker'!L$3:L$5000,"&lt;&gt;Won't Fix",'06 Bug Tracker'!L$3:L$5000,"&lt;&gt;Duplicate"),0)</f>
        <v/>
      </c>
      <c r="N4" s="29" t="inlineStr">
        <is>
          <t>Mark Fail on TC → create Bug in 06 → Bug ID appears here &amp; on Dev Tasks</t>
        </is>
      </c>
    </row>
    <row r="5">
      <c r="A5" s="27" t="inlineStr">
        <is>
          <t>QAT-003</t>
        </is>
      </c>
      <c r="B5" s="27" t="inlineStr">
        <is>
          <t>Shreya Patil</t>
        </is>
      </c>
      <c r="C5" s="27" t="inlineStr">
        <is>
          <t>Live Practice Coach</t>
        </is>
      </c>
      <c r="D5" s="27" t="inlineStr">
        <is>
          <t>Functional</t>
        </is>
      </c>
      <c r="E5" s="27" t="inlineStr">
        <is>
          <t>Execute Live Practice Coach pack — Deepgram STT + AI hints/answers + overlay</t>
        </is>
      </c>
      <c r="F5" s="27" t="inlineStr">
        <is>
          <t>See 04 / domain sheets for MOD-03</t>
        </is>
      </c>
      <c r="G5" s="27" t="inlineStr">
        <is>
          <t>Critical</t>
        </is>
      </c>
      <c r="H5" s="27" t="inlineStr">
        <is>
          <t>Not Started</t>
        </is>
      </c>
      <c r="I5" s="28" t="n">
        <v>46242</v>
      </c>
      <c r="J5" s="27" t="n">
        <v>4</v>
      </c>
      <c r="K5" s="27" t="n">
        <v>0</v>
      </c>
      <c r="L5" s="27" t="inlineStr"/>
      <c r="M5" s="27">
        <f>IFERROR(COUNTIFS('06 Bug Tracker'!N$3:N$5000,B5,'06 Bug Tracker'!L$3:L$5000,"&lt;&gt;Closed",'06 Bug Tracker'!L$3:L$5000,"&lt;&gt;Won't Fix",'06 Bug Tracker'!L$3:L$5000,"&lt;&gt;Duplicate"),0)</f>
        <v/>
      </c>
      <c r="N5" s="27" t="inlineStr">
        <is>
          <t>Mark Fail on TC → create Bug in 06 → Bug ID appears here &amp; on Dev Tasks</t>
        </is>
      </c>
    </row>
    <row r="6">
      <c r="A6" s="29" t="inlineStr">
        <is>
          <t>QAT-004</t>
        </is>
      </c>
      <c r="B6" s="29" t="inlineStr">
        <is>
          <t>Shreya Patil</t>
        </is>
      </c>
      <c r="C6" s="29" t="inlineStr">
        <is>
          <t>Mock Interview</t>
        </is>
      </c>
      <c r="D6" s="29" t="inlineStr">
        <is>
          <t>Functional</t>
        </is>
      </c>
      <c r="E6" s="29" t="inlineStr">
        <is>
          <t>Execute Mock Interview pack — Timed mock sessions with AI scoring</t>
        </is>
      </c>
      <c r="F6" s="29" t="inlineStr">
        <is>
          <t>See 04 / domain sheets for MOD-04</t>
        </is>
      </c>
      <c r="G6" s="29" t="inlineStr">
        <is>
          <t>High</t>
        </is>
      </c>
      <c r="H6" s="29" t="inlineStr">
        <is>
          <t>Not Started</t>
        </is>
      </c>
      <c r="I6" s="30" t="n">
        <v>46243</v>
      </c>
      <c r="J6" s="29" t="n">
        <v>4</v>
      </c>
      <c r="K6" s="29" t="n">
        <v>0</v>
      </c>
      <c r="L6" s="29" t="inlineStr"/>
      <c r="M6" s="29">
        <f>IFERROR(COUNTIFS('06 Bug Tracker'!N$3:N$5000,B6,'06 Bug Tracker'!L$3:L$5000,"&lt;&gt;Closed",'06 Bug Tracker'!L$3:L$5000,"&lt;&gt;Won't Fix",'06 Bug Tracker'!L$3:L$5000,"&lt;&gt;Duplicate"),0)</f>
        <v/>
      </c>
      <c r="N6" s="29" t="inlineStr">
        <is>
          <t>Mark Fail on TC → create Bug in 06 → Bug ID appears here &amp; on Dev Tasks</t>
        </is>
      </c>
    </row>
    <row r="7">
      <c r="A7" s="27" t="inlineStr">
        <is>
          <t>QAT-005</t>
        </is>
      </c>
      <c r="B7" s="27" t="inlineStr">
        <is>
          <t>Shreya Patil</t>
        </is>
      </c>
      <c r="C7" s="27" t="inlineStr">
        <is>
          <t>Sessions &amp; Debriefs</t>
        </is>
      </c>
      <c r="D7" s="27" t="inlineStr">
        <is>
          <t>Functional</t>
        </is>
      </c>
      <c r="E7" s="27" t="inlineStr">
        <is>
          <t>Execute Sessions &amp; Debriefs pack — History, detail, AI debrief, scorecard share</t>
        </is>
      </c>
      <c r="F7" s="27" t="inlineStr">
        <is>
          <t>See 04 / domain sheets for MOD-05</t>
        </is>
      </c>
      <c r="G7" s="27" t="inlineStr">
        <is>
          <t>High</t>
        </is>
      </c>
      <c r="H7" s="27" t="inlineStr">
        <is>
          <t>Not Started</t>
        </is>
      </c>
      <c r="I7" s="28" t="n">
        <v>46239</v>
      </c>
      <c r="J7" s="27" t="n">
        <v>4</v>
      </c>
      <c r="K7" s="27" t="n">
        <v>0</v>
      </c>
      <c r="L7" s="27" t="inlineStr"/>
      <c r="M7" s="27">
        <f>IFERROR(COUNTIFS('06 Bug Tracker'!N$3:N$5000,B7,'06 Bug Tracker'!L$3:L$5000,"&lt;&gt;Closed",'06 Bug Tracker'!L$3:L$5000,"&lt;&gt;Won't Fix",'06 Bug Tracker'!L$3:L$5000,"&lt;&gt;Duplicate"),0)</f>
        <v/>
      </c>
      <c r="N7" s="27" t="inlineStr">
        <is>
          <t>Mark Fail on TC → create Bug in 06 → Bug ID appears here &amp; on Dev Tasks</t>
        </is>
      </c>
    </row>
    <row r="8">
      <c r="A8" s="29" t="inlineStr">
        <is>
          <t>QAT-006</t>
        </is>
      </c>
      <c r="B8" s="29" t="inlineStr">
        <is>
          <t>Raj Balani</t>
        </is>
      </c>
      <c r="C8" s="29" t="inlineStr">
        <is>
          <t>Analytics &amp; Usage</t>
        </is>
      </c>
      <c r="D8" s="29" t="inlineStr">
        <is>
          <t>Functional</t>
        </is>
      </c>
      <c r="E8" s="29" t="inlineStr">
        <is>
          <t>Execute Analytics &amp; Usage pack — Trends, WPM, fillers, credit usage</t>
        </is>
      </c>
      <c r="F8" s="29" t="inlineStr">
        <is>
          <t>See 04 / domain sheets for MOD-06</t>
        </is>
      </c>
      <c r="G8" s="29" t="inlineStr">
        <is>
          <t>Medium</t>
        </is>
      </c>
      <c r="H8" s="29" t="inlineStr">
        <is>
          <t>Not Started</t>
        </is>
      </c>
      <c r="I8" s="30" t="n">
        <v>46240</v>
      </c>
      <c r="J8" s="29" t="n">
        <v>4</v>
      </c>
      <c r="K8" s="29" t="n">
        <v>0</v>
      </c>
      <c r="L8" s="29" t="inlineStr"/>
      <c r="M8" s="29">
        <f>IFERROR(COUNTIFS('06 Bug Tracker'!N$3:N$5000,B8,'06 Bug Tracker'!L$3:L$5000,"&lt;&gt;Closed",'06 Bug Tracker'!L$3:L$5000,"&lt;&gt;Won't Fix",'06 Bug Tracker'!L$3:L$5000,"&lt;&gt;Duplicate"),0)</f>
        <v/>
      </c>
      <c r="N8" s="29" t="inlineStr">
        <is>
          <t>Mark Fail on TC → create Bug in 06 → Bug ID appears here &amp; on Dev Tasks</t>
        </is>
      </c>
    </row>
    <row r="9">
      <c r="A9" s="27" t="inlineStr">
        <is>
          <t>QAT-007</t>
        </is>
      </c>
      <c r="B9" s="27" t="inlineStr">
        <is>
          <t>Raj Balani</t>
        </is>
      </c>
      <c r="C9" s="27" t="inlineStr">
        <is>
          <t>Prep Lab</t>
        </is>
      </c>
      <c r="D9" s="27" t="inlineStr">
        <is>
          <t>Functional</t>
        </is>
      </c>
      <c r="E9" s="27" t="inlineStr">
        <is>
          <t>Execute Prep Lab pack — STAR, rephraser, polish, company Qs</t>
        </is>
      </c>
      <c r="F9" s="27" t="inlineStr">
        <is>
          <t>See 04 / domain sheets for MOD-07</t>
        </is>
      </c>
      <c r="G9" s="27" t="inlineStr">
        <is>
          <t>High</t>
        </is>
      </c>
      <c r="H9" s="27" t="inlineStr">
        <is>
          <t>Not Started</t>
        </is>
      </c>
      <c r="I9" s="28" t="n">
        <v>46241</v>
      </c>
      <c r="J9" s="27" t="n">
        <v>4</v>
      </c>
      <c r="K9" s="27" t="n">
        <v>0</v>
      </c>
      <c r="L9" s="27" t="inlineStr"/>
      <c r="M9" s="27">
        <f>IFERROR(COUNTIFS('06 Bug Tracker'!N$3:N$5000,B9,'06 Bug Tracker'!L$3:L$5000,"&lt;&gt;Closed",'06 Bug Tracker'!L$3:L$5000,"&lt;&gt;Won't Fix",'06 Bug Tracker'!L$3:L$5000,"&lt;&gt;Duplicate"),0)</f>
        <v/>
      </c>
      <c r="N9" s="27" t="inlineStr">
        <is>
          <t>Mark Fail on TC → create Bug in 06 → Bug ID appears here &amp; on Dev Tasks</t>
        </is>
      </c>
    </row>
    <row r="10">
      <c r="A10" s="29" t="inlineStr">
        <is>
          <t>QAT-008</t>
        </is>
      </c>
      <c r="B10" s="29" t="inlineStr">
        <is>
          <t>Shreya Patil</t>
        </is>
      </c>
      <c r="C10" s="29" t="inlineStr">
        <is>
          <t>Documents &amp; Resumes</t>
        </is>
      </c>
      <c r="D10" s="29" t="inlineStr">
        <is>
          <t>Functional</t>
        </is>
      </c>
      <c r="E10" s="29" t="inlineStr">
        <is>
          <t>Execute Documents &amp; Resumes pack — Upload, parse-resume, gap analysis, OCR</t>
        </is>
      </c>
      <c r="F10" s="29" t="inlineStr">
        <is>
          <t>See 04 / domain sheets for MOD-08</t>
        </is>
      </c>
      <c r="G10" s="29" t="inlineStr">
        <is>
          <t>High</t>
        </is>
      </c>
      <c r="H10" s="29" t="inlineStr">
        <is>
          <t>Not Started</t>
        </is>
      </c>
      <c r="I10" s="30" t="n">
        <v>46242</v>
      </c>
      <c r="J10" s="29" t="n">
        <v>4</v>
      </c>
      <c r="K10" s="29" t="n">
        <v>0</v>
      </c>
      <c r="L10" s="29" t="inlineStr"/>
      <c r="M10" s="29">
        <f>IFERROR(COUNTIFS('06 Bug Tracker'!N$3:N$5000,B10,'06 Bug Tracker'!L$3:L$5000,"&lt;&gt;Closed",'06 Bug Tracker'!L$3:L$5000,"&lt;&gt;Won't Fix",'06 Bug Tracker'!L$3:L$5000,"&lt;&gt;Duplicate"),0)</f>
        <v/>
      </c>
      <c r="N10" s="29" t="inlineStr">
        <is>
          <t>Mark Fail on TC → create Bug in 06 → Bug ID appears here &amp; on Dev Tasks</t>
        </is>
      </c>
    </row>
    <row r="11">
      <c r="A11" s="27" t="inlineStr">
        <is>
          <t>QAT-009</t>
        </is>
      </c>
      <c r="B11" s="27" t="inlineStr">
        <is>
          <t>Raj Balani</t>
        </is>
      </c>
      <c r="C11" s="27" t="inlineStr">
        <is>
          <t>Answer Bank</t>
        </is>
      </c>
      <c r="D11" s="27" t="inlineStr">
        <is>
          <t>Functional</t>
        </is>
      </c>
      <c r="E11" s="27" t="inlineStr">
        <is>
          <t>Execute Answer Bank pack — STAR library + AI generate via prep-tool</t>
        </is>
      </c>
      <c r="F11" s="27" t="inlineStr">
        <is>
          <t>See 04 / domain sheets for MOD-09</t>
        </is>
      </c>
      <c r="G11" s="27" t="inlineStr">
        <is>
          <t>Medium</t>
        </is>
      </c>
      <c r="H11" s="27" t="inlineStr">
        <is>
          <t>Not Started</t>
        </is>
      </c>
      <c r="I11" s="28" t="n">
        <v>46243</v>
      </c>
      <c r="J11" s="27" t="n">
        <v>4</v>
      </c>
      <c r="K11" s="27" t="n">
        <v>0</v>
      </c>
      <c r="L11" s="27" t="inlineStr"/>
      <c r="M11" s="27">
        <f>IFERROR(COUNTIFS('06 Bug Tracker'!N$3:N$5000,B11,'06 Bug Tracker'!L$3:L$5000,"&lt;&gt;Closed",'06 Bug Tracker'!L$3:L$5000,"&lt;&gt;Won't Fix",'06 Bug Tracker'!L$3:L$5000,"&lt;&gt;Duplicate"),0)</f>
        <v/>
      </c>
      <c r="N11" s="27" t="inlineStr">
        <is>
          <t>Mark Fail on TC → create Bug in 06 → Bug ID appears here &amp; on Dev Tasks</t>
        </is>
      </c>
    </row>
    <row r="12">
      <c r="A12" s="29" t="inlineStr">
        <is>
          <t>QAT-010</t>
        </is>
      </c>
      <c r="B12" s="29" t="inlineStr">
        <is>
          <t>Shreya Patil</t>
        </is>
      </c>
      <c r="C12" s="29" t="inlineStr">
        <is>
          <t>Interviews &amp; Calendar</t>
        </is>
      </c>
      <c r="D12" s="29" t="inlineStr">
        <is>
          <t>Functional</t>
        </is>
      </c>
      <c r="E12" s="29" t="inlineStr">
        <is>
          <t>Execute Interviews &amp; Calendar pack — Manual interviews + Google Calendar sync</t>
        </is>
      </c>
      <c r="F12" s="29" t="inlineStr">
        <is>
          <t>See 04 / domain sheets for MOD-10</t>
        </is>
      </c>
      <c r="G12" s="29" t="inlineStr">
        <is>
          <t>High</t>
        </is>
      </c>
      <c r="H12" s="29" t="inlineStr">
        <is>
          <t>Not Started</t>
        </is>
      </c>
      <c r="I12" s="30" t="n">
        <v>46239</v>
      </c>
      <c r="J12" s="29" t="n">
        <v>4</v>
      </c>
      <c r="K12" s="29" t="n">
        <v>0</v>
      </c>
      <c r="L12" s="29" t="inlineStr"/>
      <c r="M12" s="29">
        <f>IFERROR(COUNTIFS('06 Bug Tracker'!N$3:N$5000,B12,'06 Bug Tracker'!L$3:L$5000,"&lt;&gt;Closed",'06 Bug Tracker'!L$3:L$5000,"&lt;&gt;Won't Fix",'06 Bug Tracker'!L$3:L$5000,"&lt;&gt;Duplicate"),0)</f>
        <v/>
      </c>
      <c r="N12" s="29" t="inlineStr">
        <is>
          <t>Mark Fail on TC → create Bug in 06 → Bug ID appears here &amp; on Dev Tasks</t>
        </is>
      </c>
    </row>
    <row r="13">
      <c r="A13" s="27" t="inlineStr">
        <is>
          <t>QAT-011</t>
        </is>
      </c>
      <c r="B13" s="27" t="inlineStr">
        <is>
          <t>Raj Balani</t>
        </is>
      </c>
      <c r="C13" s="27" t="inlineStr">
        <is>
          <t>Company Research</t>
        </is>
      </c>
      <c r="D13" s="27" t="inlineStr">
        <is>
          <t>Functional</t>
        </is>
      </c>
      <c r="E13" s="27" t="inlineStr">
        <is>
          <t>Execute Company Research pack — AI company brief + per-user cache</t>
        </is>
      </c>
      <c r="F13" s="27" t="inlineStr">
        <is>
          <t>See 04 / domain sheets for MOD-11</t>
        </is>
      </c>
      <c r="G13" s="27" t="inlineStr">
        <is>
          <t>Medium</t>
        </is>
      </c>
      <c r="H13" s="27" t="inlineStr">
        <is>
          <t>Not Started</t>
        </is>
      </c>
      <c r="I13" s="28" t="n">
        <v>46240</v>
      </c>
      <c r="J13" s="27" t="n">
        <v>4</v>
      </c>
      <c r="K13" s="27" t="n">
        <v>0</v>
      </c>
      <c r="L13" s="27" t="inlineStr"/>
      <c r="M13" s="27">
        <f>IFERROR(COUNTIFS('06 Bug Tracker'!N$3:N$5000,B13,'06 Bug Tracker'!L$3:L$5000,"&lt;&gt;Closed",'06 Bug Tracker'!L$3:L$5000,"&lt;&gt;Won't Fix",'06 Bug Tracker'!L$3:L$5000,"&lt;&gt;Duplicate"),0)</f>
        <v/>
      </c>
      <c r="N13" s="27" t="inlineStr">
        <is>
          <t>Mark Fail on TC → create Bug in 06 → Bug ID appears here &amp; on Dev Tasks</t>
        </is>
      </c>
    </row>
    <row r="14">
      <c r="A14" s="29" t="inlineStr">
        <is>
          <t>QAT-012</t>
        </is>
      </c>
      <c r="B14" s="29" t="inlineStr">
        <is>
          <t>Raj Balani</t>
        </is>
      </c>
      <c r="C14" s="29" t="inlineStr">
        <is>
          <t>Notifications &amp; Profile</t>
        </is>
      </c>
      <c r="D14" s="29" t="inlineStr">
        <is>
          <t>Functional</t>
        </is>
      </c>
      <c r="E14" s="29" t="inlineStr">
        <is>
          <t>Execute Notifications &amp; Profile pack — Realtime notifications, XP/streak/badges</t>
        </is>
      </c>
      <c r="F14" s="29" t="inlineStr">
        <is>
          <t>See 04 / domain sheets for MOD-12</t>
        </is>
      </c>
      <c r="G14" s="29" t="inlineStr">
        <is>
          <t>Medium</t>
        </is>
      </c>
      <c r="H14" s="29" t="inlineStr">
        <is>
          <t>Not Started</t>
        </is>
      </c>
      <c r="I14" s="30" t="n">
        <v>46241</v>
      </c>
      <c r="J14" s="29" t="n">
        <v>4</v>
      </c>
      <c r="K14" s="29" t="n">
        <v>0</v>
      </c>
      <c r="L14" s="29" t="inlineStr"/>
      <c r="M14" s="29">
        <f>IFERROR(COUNTIFS('06 Bug Tracker'!N$3:N$5000,B14,'06 Bug Tracker'!L$3:L$5000,"&lt;&gt;Closed",'06 Bug Tracker'!L$3:L$5000,"&lt;&gt;Won't Fix",'06 Bug Tracker'!L$3:L$5000,"&lt;&gt;Duplicate"),0)</f>
        <v/>
      </c>
      <c r="N14" s="29" t="inlineStr">
        <is>
          <t>Mark Fail on TC → create Bug in 06 → Bug ID appears here &amp; on Dev Tasks</t>
        </is>
      </c>
    </row>
    <row r="15">
      <c r="A15" s="27" t="inlineStr">
        <is>
          <t>QAT-013</t>
        </is>
      </c>
      <c r="B15" s="27" t="inlineStr">
        <is>
          <t>Raj Balani</t>
        </is>
      </c>
      <c r="C15" s="27" t="inlineStr">
        <is>
          <t>Referrals &amp; Guide</t>
        </is>
      </c>
      <c r="D15" s="27" t="inlineStr">
        <is>
          <t>Functional</t>
        </is>
      </c>
      <c r="E15" s="27" t="inlineStr">
        <is>
          <t>Execute Referrals &amp; Guide pack — Referral credits + in-app guide</t>
        </is>
      </c>
      <c r="F15" s="27" t="inlineStr">
        <is>
          <t>See 04 / domain sheets for MOD-13</t>
        </is>
      </c>
      <c r="G15" s="27" t="inlineStr">
        <is>
          <t>Low</t>
        </is>
      </c>
      <c r="H15" s="27" t="inlineStr">
        <is>
          <t>Not Started</t>
        </is>
      </c>
      <c r="I15" s="28" t="n">
        <v>46242</v>
      </c>
      <c r="J15" s="27" t="n">
        <v>4</v>
      </c>
      <c r="K15" s="27" t="n">
        <v>0</v>
      </c>
      <c r="L15" s="27" t="inlineStr"/>
      <c r="M15" s="27">
        <f>IFERROR(COUNTIFS('06 Bug Tracker'!N$3:N$5000,B15,'06 Bug Tracker'!L$3:L$5000,"&lt;&gt;Closed",'06 Bug Tracker'!L$3:L$5000,"&lt;&gt;Won't Fix",'06 Bug Tracker'!L$3:L$5000,"&lt;&gt;Duplicate"),0)</f>
        <v/>
      </c>
      <c r="N15" s="27" t="inlineStr">
        <is>
          <t>Mark Fail on TC → create Bug in 06 → Bug ID appears here &amp; on Dev Tasks</t>
        </is>
      </c>
    </row>
    <row r="16">
      <c r="A16" s="29" t="inlineStr">
        <is>
          <t>QAT-014</t>
        </is>
      </c>
      <c r="B16" s="29" t="inlineStr">
        <is>
          <t>Raj Balani</t>
        </is>
      </c>
      <c r="C16" s="29" t="inlineStr">
        <is>
          <t>Gov Exam Mock Tests</t>
        </is>
      </c>
      <c r="D16" s="29" t="inlineStr">
        <is>
          <t>Functional</t>
        </is>
      </c>
      <c r="E16" s="29" t="inlineStr">
        <is>
          <t>Execute Gov Exam Mock Tests pack — India gov/competitive MCQ engine</t>
        </is>
      </c>
      <c r="F16" s="29" t="inlineStr">
        <is>
          <t>See 04 / domain sheets for MOD-14</t>
        </is>
      </c>
      <c r="G16" s="29" t="inlineStr">
        <is>
          <t>Critical</t>
        </is>
      </c>
      <c r="H16" s="29" t="inlineStr">
        <is>
          <t>Not Started</t>
        </is>
      </c>
      <c r="I16" s="30" t="n">
        <v>46243</v>
      </c>
      <c r="J16" s="29" t="n">
        <v>4</v>
      </c>
      <c r="K16" s="29" t="n">
        <v>0</v>
      </c>
      <c r="L16" s="29" t="inlineStr"/>
      <c r="M16" s="29">
        <f>IFERROR(COUNTIFS('06 Bug Tracker'!N$3:N$5000,B16,'06 Bug Tracker'!L$3:L$5000,"&lt;&gt;Closed",'06 Bug Tracker'!L$3:L$5000,"&lt;&gt;Won't Fix",'06 Bug Tracker'!L$3:L$5000,"&lt;&gt;Duplicate"),0)</f>
        <v/>
      </c>
      <c r="N16" s="29" t="inlineStr">
        <is>
          <t>Mark Fail on TC → create Bug in 06 → Bug ID appears here &amp; on Dev Tasks</t>
        </is>
      </c>
    </row>
    <row r="17">
      <c r="A17" s="27" t="inlineStr">
        <is>
          <t>QAT-015</t>
        </is>
      </c>
      <c r="B17" s="27" t="inlineStr">
        <is>
          <t>Raj Balani</t>
        </is>
      </c>
      <c r="C17" s="27" t="inlineStr">
        <is>
          <t>Settings</t>
        </is>
      </c>
      <c r="D17" s="27" t="inlineStr">
        <is>
          <t>Functional</t>
        </is>
      </c>
      <c r="E17" s="27" t="inlineStr">
        <is>
          <t>Execute Settings pack — Billing, audio, models, security, integrations</t>
        </is>
      </c>
      <c r="F17" s="27" t="inlineStr">
        <is>
          <t>See 04 / domain sheets for MOD-15</t>
        </is>
      </c>
      <c r="G17" s="27" t="inlineStr">
        <is>
          <t>High</t>
        </is>
      </c>
      <c r="H17" s="27" t="inlineStr">
        <is>
          <t>Not Started</t>
        </is>
      </c>
      <c r="I17" s="28" t="n">
        <v>46239</v>
      </c>
      <c r="J17" s="27" t="n">
        <v>4</v>
      </c>
      <c r="K17" s="27" t="n">
        <v>0</v>
      </c>
      <c r="L17" s="27" t="inlineStr"/>
      <c r="M17" s="27">
        <f>IFERROR(COUNTIFS('06 Bug Tracker'!N$3:N$5000,B17,'06 Bug Tracker'!L$3:L$5000,"&lt;&gt;Closed",'06 Bug Tracker'!L$3:L$5000,"&lt;&gt;Won't Fix",'06 Bug Tracker'!L$3:L$5000,"&lt;&gt;Duplicate"),0)</f>
        <v/>
      </c>
      <c r="N17" s="27" t="inlineStr">
        <is>
          <t>Mark Fail on TC → create Bug in 06 → Bug ID appears here &amp; on Dev Tasks</t>
        </is>
      </c>
    </row>
    <row r="18">
      <c r="A18" s="29" t="inlineStr">
        <is>
          <t>QAT-016</t>
        </is>
      </c>
      <c r="B18" s="29" t="inlineStr">
        <is>
          <t>Raj Balani</t>
        </is>
      </c>
      <c r="C18" s="29" t="inlineStr">
        <is>
          <t>Admin Portal</t>
        </is>
      </c>
      <c r="D18" s="29" t="inlineStr">
        <is>
          <t>Functional</t>
        </is>
      </c>
      <c r="E18" s="29" t="inlineStr">
        <is>
          <t>Execute Admin Portal pack — Users, revenue, questions, flags, support</t>
        </is>
      </c>
      <c r="F18" s="29" t="inlineStr">
        <is>
          <t>See 04 / domain sheets for MOD-16</t>
        </is>
      </c>
      <c r="G18" s="29" t="inlineStr">
        <is>
          <t>Critical</t>
        </is>
      </c>
      <c r="H18" s="29" t="inlineStr">
        <is>
          <t>Not Started</t>
        </is>
      </c>
      <c r="I18" s="30" t="n">
        <v>46240</v>
      </c>
      <c r="J18" s="29" t="n">
        <v>4</v>
      </c>
      <c r="K18" s="29" t="n">
        <v>0</v>
      </c>
      <c r="L18" s="29" t="inlineStr"/>
      <c r="M18" s="29">
        <f>IFERROR(COUNTIFS('06 Bug Tracker'!N$3:N$5000,B18,'06 Bug Tracker'!L$3:L$5000,"&lt;&gt;Closed",'06 Bug Tracker'!L$3:L$5000,"&lt;&gt;Won't Fix",'06 Bug Tracker'!L$3:L$5000,"&lt;&gt;Duplicate"),0)</f>
        <v/>
      </c>
      <c r="N18" s="29" t="inlineStr">
        <is>
          <t>Mark Fail on TC → create Bug in 06 → Bug ID appears here &amp; on Dev Tasks</t>
        </is>
      </c>
    </row>
    <row r="19">
      <c r="A19" s="27" t="inlineStr">
        <is>
          <t>QAT-017</t>
        </is>
      </c>
      <c r="B19" s="27" t="inlineStr">
        <is>
          <t>Shreya Patil</t>
        </is>
      </c>
      <c r="C19" s="27" t="inlineStr">
        <is>
          <t>Marketing Site</t>
        </is>
      </c>
      <c r="D19" s="27" t="inlineStr">
        <is>
          <t>Functional</t>
        </is>
      </c>
      <c r="E19" s="27" t="inlineStr">
        <is>
          <t>Execute Marketing Site pack — Landing, pricing, blog, help, legal</t>
        </is>
      </c>
      <c r="F19" s="27" t="inlineStr">
        <is>
          <t>See 04 / domain sheets for MOD-17</t>
        </is>
      </c>
      <c r="G19" s="27" t="inlineStr">
        <is>
          <t>Medium</t>
        </is>
      </c>
      <c r="H19" s="27" t="inlineStr">
        <is>
          <t>Not Started</t>
        </is>
      </c>
      <c r="I19" s="28" t="n">
        <v>46241</v>
      </c>
      <c r="J19" s="27" t="n">
        <v>4</v>
      </c>
      <c r="K19" s="27" t="n">
        <v>0</v>
      </c>
      <c r="L19" s="27" t="inlineStr"/>
      <c r="M19" s="27">
        <f>IFERROR(COUNTIFS('06 Bug Tracker'!N$3:N$5000,B19,'06 Bug Tracker'!L$3:L$5000,"&lt;&gt;Closed",'06 Bug Tracker'!L$3:L$5000,"&lt;&gt;Won't Fix",'06 Bug Tracker'!L$3:L$5000,"&lt;&gt;Duplicate"),0)</f>
        <v/>
      </c>
      <c r="N19" s="27" t="inlineStr">
        <is>
          <t>Mark Fail on TC → create Bug in 06 → Bug ID appears here &amp; on Dev Tasks</t>
        </is>
      </c>
    </row>
    <row r="20">
      <c r="A20" s="29" t="inlineStr">
        <is>
          <t>QAT-018</t>
        </is>
      </c>
      <c r="B20" s="29" t="inlineStr">
        <is>
          <t>Raj Balani</t>
        </is>
      </c>
      <c r="C20" s="29" t="inlineStr">
        <is>
          <t>Billing &amp; Credits</t>
        </is>
      </c>
      <c r="D20" s="29" t="inlineStr">
        <is>
          <t>Functional</t>
        </is>
      </c>
      <c r="E20" s="29" t="inlineStr">
        <is>
          <t>Execute Billing &amp; Credits pack — Stripe/Razorpay, packs, ledger, plan gates</t>
        </is>
      </c>
      <c r="F20" s="29" t="inlineStr">
        <is>
          <t>See 04 / domain sheets for MOD-18</t>
        </is>
      </c>
      <c r="G20" s="29" t="inlineStr">
        <is>
          <t>Critical</t>
        </is>
      </c>
      <c r="H20" s="29" t="inlineStr">
        <is>
          <t>Not Started</t>
        </is>
      </c>
      <c r="I20" s="30" t="n">
        <v>46242</v>
      </c>
      <c r="J20" s="29" t="n">
        <v>4</v>
      </c>
      <c r="K20" s="29" t="n">
        <v>0</v>
      </c>
      <c r="L20" s="29" t="inlineStr"/>
      <c r="M20" s="29">
        <f>IFERROR(COUNTIFS('06 Bug Tracker'!N$3:N$5000,B20,'06 Bug Tracker'!L$3:L$5000,"&lt;&gt;Closed",'06 Bug Tracker'!L$3:L$5000,"&lt;&gt;Won't Fix",'06 Bug Tracker'!L$3:L$5000,"&lt;&gt;Duplicate"),0)</f>
        <v/>
      </c>
      <c r="N20" s="29" t="inlineStr">
        <is>
          <t>Mark Fail on TC → create Bug in 06 → Bug ID appears here &amp; on Dev Tasks</t>
        </is>
      </c>
    </row>
    <row r="21">
      <c r="A21" s="27" t="inlineStr">
        <is>
          <t>QAT-019</t>
        </is>
      </c>
      <c r="B21" s="27" t="inlineStr">
        <is>
          <t>Shreya Patil</t>
        </is>
      </c>
      <c r="C21" s="27" t="inlineStr">
        <is>
          <t>Electron Desktop Overlay</t>
        </is>
      </c>
      <c r="D21" s="27" t="inlineStr">
        <is>
          <t>Functional</t>
        </is>
      </c>
      <c r="E21" s="27" t="inlineStr">
        <is>
          <t>Execute Electron Desktop Overlay pack — Always-on-top overlay, hotkeys, window state</t>
        </is>
      </c>
      <c r="F21" s="27" t="inlineStr">
        <is>
          <t>See 04 / domain sheets for MOD-19</t>
        </is>
      </c>
      <c r="G21" s="27" t="inlineStr">
        <is>
          <t>Critical</t>
        </is>
      </c>
      <c r="H21" s="27" t="inlineStr">
        <is>
          <t>Not Started</t>
        </is>
      </c>
      <c r="I21" s="28" t="n">
        <v>46243</v>
      </c>
      <c r="J21" s="27" t="n">
        <v>4</v>
      </c>
      <c r="K21" s="27" t="n">
        <v>0</v>
      </c>
      <c r="L21" s="27" t="inlineStr"/>
      <c r="M21" s="27">
        <f>IFERROR(COUNTIFS('06 Bug Tracker'!N$3:N$5000,B21,'06 Bug Tracker'!L$3:L$5000,"&lt;&gt;Closed",'06 Bug Tracker'!L$3:L$5000,"&lt;&gt;Won't Fix",'06 Bug Tracker'!L$3:L$5000,"&lt;&gt;Duplicate"),0)</f>
        <v/>
      </c>
      <c r="N21" s="27" t="inlineStr">
        <is>
          <t>Mark Fail on TC → create Bug in 06 → Bug ID appears here &amp; on Dev Tasks</t>
        </is>
      </c>
    </row>
    <row r="22">
      <c r="A22" s="29" t="inlineStr">
        <is>
          <t>QAT-020</t>
        </is>
      </c>
      <c r="B22" s="29" t="inlineStr">
        <is>
          <t>Raj Balani</t>
        </is>
      </c>
      <c r="C22" s="29" t="inlineStr">
        <is>
          <t>Security &amp; Platform</t>
        </is>
      </c>
      <c r="D22" s="29" t="inlineStr">
        <is>
          <t>Functional</t>
        </is>
      </c>
      <c r="E22" s="29" t="inlineStr">
        <is>
          <t>Execute Security &amp; Platform pack — RLS, webhooks, rate limits, CI, observability</t>
        </is>
      </c>
      <c r="F22" s="29" t="inlineStr">
        <is>
          <t>See 04 / domain sheets for MOD-20</t>
        </is>
      </c>
      <c r="G22" s="29" t="inlineStr">
        <is>
          <t>Critical</t>
        </is>
      </c>
      <c r="H22" s="29" t="inlineStr">
        <is>
          <t>Not Started</t>
        </is>
      </c>
      <c r="I22" s="30" t="n">
        <v>46239</v>
      </c>
      <c r="J22" s="29" t="n">
        <v>4</v>
      </c>
      <c r="K22" s="29" t="n">
        <v>0</v>
      </c>
      <c r="L22" s="29" t="inlineStr"/>
      <c r="M22" s="29">
        <f>IFERROR(COUNTIFS('06 Bug Tracker'!N$3:N$5000,B22,'06 Bug Tracker'!L$3:L$5000,"&lt;&gt;Closed",'06 Bug Tracker'!L$3:L$5000,"&lt;&gt;Won't Fix",'06 Bug Tracker'!L$3:L$5000,"&lt;&gt;Duplicate"),0)</f>
        <v/>
      </c>
      <c r="N22" s="29" t="inlineStr">
        <is>
          <t>Mark Fail on TC → create Bug in 06 → Bug ID appears here &amp; on Dev Tasks</t>
        </is>
      </c>
    </row>
    <row r="23">
      <c r="A23" s="27" t="inlineStr">
        <is>
          <t>QAT-021</t>
        </is>
      </c>
      <c r="B23" s="27" t="inlineStr">
        <is>
          <t>Shreya Patil</t>
        </is>
      </c>
      <c r="C23" s="27" t="inlineStr">
        <is>
          <t>Cross-Cutting</t>
        </is>
      </c>
      <c r="D23" s="27" t="inlineStr">
        <is>
          <t>Smoke</t>
        </is>
      </c>
      <c r="E23" s="27" t="inlineStr">
        <is>
          <t>Smoke Pack — 25 Smoke Pack must-pass</t>
        </is>
      </c>
      <c r="F23" s="27" t="inlineStr">
        <is>
          <t>25 Smoke Pack must-pass</t>
        </is>
      </c>
      <c r="G23" s="27" t="inlineStr">
        <is>
          <t>Critical</t>
        </is>
      </c>
      <c r="H23" s="27" t="inlineStr">
        <is>
          <t>Not Started</t>
        </is>
      </c>
      <c r="I23" s="28" t="n">
        <v>46237</v>
      </c>
      <c r="J23" s="27" t="n">
        <v>3</v>
      </c>
      <c r="K23" s="27" t="n">
        <v>0</v>
      </c>
      <c r="L23" s="27" t="inlineStr"/>
      <c r="M23" s="27">
        <f>IFERROR(COUNTIFS('06 Bug Tracker'!N$3:N$5000,B23,'06 Bug Tracker'!L$3:L$5000,"&lt;&gt;Closed",'06 Bug Tracker'!L$3:L$5000,"&lt;&gt;Won't Fix",'06 Bug Tracker'!L$3:L$5000,"&lt;&gt;Duplicate"),0)</f>
        <v/>
      </c>
      <c r="N23" s="27" t="inlineStr">
        <is>
          <t>Update Status daily; link Bug ID when filing defects</t>
        </is>
      </c>
    </row>
    <row r="24">
      <c r="A24" s="29" t="inlineStr">
        <is>
          <t>QAT-022</t>
        </is>
      </c>
      <c r="B24" s="29" t="inlineStr">
        <is>
          <t>Raj Balani</t>
        </is>
      </c>
      <c r="C24" s="29" t="inlineStr">
        <is>
          <t>Cross-Cutting</t>
        </is>
      </c>
      <c r="D24" s="29" t="inlineStr">
        <is>
          <t>Smoke</t>
        </is>
      </c>
      <c r="E24" s="29" t="inlineStr">
        <is>
          <t>Smoke Pack — 25 Smoke Pack must-pass (pair)</t>
        </is>
      </c>
      <c r="F24" s="29" t="inlineStr">
        <is>
          <t>25 Smoke Pack must-pass (pair)</t>
        </is>
      </c>
      <c r="G24" s="29" t="inlineStr">
        <is>
          <t>Critical</t>
        </is>
      </c>
      <c r="H24" s="29" t="inlineStr">
        <is>
          <t>Not Started</t>
        </is>
      </c>
      <c r="I24" s="30" t="n">
        <v>46237</v>
      </c>
      <c r="J24" s="29" t="n">
        <v>3</v>
      </c>
      <c r="K24" s="29" t="n">
        <v>0</v>
      </c>
      <c r="L24" s="29" t="inlineStr"/>
      <c r="M24" s="29">
        <f>IFERROR(COUNTIFS('06 Bug Tracker'!N$3:N$5000,B24,'06 Bug Tracker'!L$3:L$5000,"&lt;&gt;Closed",'06 Bug Tracker'!L$3:L$5000,"&lt;&gt;Won't Fix",'06 Bug Tracker'!L$3:L$5000,"&lt;&gt;Duplicate"),0)</f>
        <v/>
      </c>
      <c r="N24" s="29" t="inlineStr">
        <is>
          <t>Update Status daily; link Bug ID when filing defects</t>
        </is>
      </c>
    </row>
    <row r="25">
      <c r="A25" s="27" t="inlineStr">
        <is>
          <t>QAT-023</t>
        </is>
      </c>
      <c r="B25" s="27" t="inlineStr">
        <is>
          <t>Raj Balani</t>
        </is>
      </c>
      <c r="C25" s="27" t="inlineStr">
        <is>
          <t>Cross-Cutting</t>
        </is>
      </c>
      <c r="D25" s="27" t="inlineStr">
        <is>
          <t>Regression</t>
        </is>
      </c>
      <c r="E25" s="27" t="inlineStr">
        <is>
          <t>Regression — 18 Regression Testing pack</t>
        </is>
      </c>
      <c r="F25" s="27" t="inlineStr">
        <is>
          <t>18 Regression Testing pack</t>
        </is>
      </c>
      <c r="G25" s="27" t="inlineStr">
        <is>
          <t>High</t>
        </is>
      </c>
      <c r="H25" s="27" t="inlineStr">
        <is>
          <t>Not Started</t>
        </is>
      </c>
      <c r="I25" s="28" t="n">
        <v>46237</v>
      </c>
      <c r="J25" s="27" t="n">
        <v>6</v>
      </c>
      <c r="K25" s="27" t="n">
        <v>0</v>
      </c>
      <c r="L25" s="27" t="inlineStr"/>
      <c r="M25" s="27">
        <f>IFERROR(COUNTIFS('06 Bug Tracker'!N$3:N$5000,B25,'06 Bug Tracker'!L$3:L$5000,"&lt;&gt;Closed",'06 Bug Tracker'!L$3:L$5000,"&lt;&gt;Won't Fix",'06 Bug Tracker'!L$3:L$5000,"&lt;&gt;Duplicate"),0)</f>
        <v/>
      </c>
      <c r="N25" s="27" t="inlineStr">
        <is>
          <t>Update Status daily; link Bug ID when filing defects</t>
        </is>
      </c>
    </row>
    <row r="26">
      <c r="A26" s="29" t="inlineStr">
        <is>
          <t>QAT-024</t>
        </is>
      </c>
      <c r="B26" s="29" t="inlineStr">
        <is>
          <t>Shreya Patil</t>
        </is>
      </c>
      <c r="C26" s="29" t="inlineStr">
        <is>
          <t>Cross-Cutting</t>
        </is>
      </c>
      <c r="D26" s="29" t="inlineStr">
        <is>
          <t>UI/UX</t>
        </is>
      </c>
      <c r="E26" s="29" t="inlineStr">
        <is>
          <t>UI/UX pass — 07 UI-UX Testing</t>
        </is>
      </c>
      <c r="F26" s="29" t="inlineStr">
        <is>
          <t>07 UI-UX Testing</t>
        </is>
      </c>
      <c r="G26" s="29" t="inlineStr">
        <is>
          <t>High</t>
        </is>
      </c>
      <c r="H26" s="29" t="inlineStr">
        <is>
          <t>Not Started</t>
        </is>
      </c>
      <c r="I26" s="30" t="n">
        <v>46237</v>
      </c>
      <c r="J26" s="29" t="n">
        <v>4</v>
      </c>
      <c r="K26" s="29" t="n">
        <v>0</v>
      </c>
      <c r="L26" s="29" t="inlineStr"/>
      <c r="M26" s="29">
        <f>IFERROR(COUNTIFS('06 Bug Tracker'!N$3:N$5000,B26,'06 Bug Tracker'!L$3:L$5000,"&lt;&gt;Closed",'06 Bug Tracker'!L$3:L$5000,"&lt;&gt;Won't Fix",'06 Bug Tracker'!L$3:L$5000,"&lt;&gt;Duplicate"),0)</f>
        <v/>
      </c>
      <c r="N26" s="29" t="inlineStr">
        <is>
          <t>Update Status daily; link Bug ID when filing defects</t>
        </is>
      </c>
    </row>
    <row r="27">
      <c r="A27" s="27" t="inlineStr">
        <is>
          <t>QAT-025</t>
        </is>
      </c>
      <c r="B27" s="27" t="inlineStr">
        <is>
          <t>Shreya Patil</t>
        </is>
      </c>
      <c r="C27" s="27" t="inlineStr">
        <is>
          <t>Cross-Cutting</t>
        </is>
      </c>
      <c r="D27" s="27" t="inlineStr">
        <is>
          <t>UI/UX</t>
        </is>
      </c>
      <c r="E27" s="27" t="inlineStr">
        <is>
          <t>Mobile responsiveness — 08</t>
        </is>
      </c>
      <c r="F27" s="27" t="inlineStr">
        <is>
          <t>08</t>
        </is>
      </c>
      <c r="G27" s="27" t="inlineStr">
        <is>
          <t>High</t>
        </is>
      </c>
      <c r="H27" s="27" t="inlineStr">
        <is>
          <t>Not Started</t>
        </is>
      </c>
      <c r="I27" s="28" t="n">
        <v>46237</v>
      </c>
      <c r="J27" s="27" t="n">
        <v>3</v>
      </c>
      <c r="K27" s="27" t="n">
        <v>0</v>
      </c>
      <c r="L27" s="27" t="inlineStr"/>
      <c r="M27" s="27">
        <f>IFERROR(COUNTIFS('06 Bug Tracker'!N$3:N$5000,B27,'06 Bug Tracker'!L$3:L$5000,"&lt;&gt;Closed",'06 Bug Tracker'!L$3:L$5000,"&lt;&gt;Won't Fix",'06 Bug Tracker'!L$3:L$5000,"&lt;&gt;Duplicate"),0)</f>
        <v/>
      </c>
      <c r="N27" s="27" t="inlineStr">
        <is>
          <t>Update Status daily; link Bug ID when filing defects</t>
        </is>
      </c>
    </row>
    <row r="28">
      <c r="A28" s="29" t="inlineStr">
        <is>
          <t>QAT-026</t>
        </is>
      </c>
      <c r="B28" s="29" t="inlineStr">
        <is>
          <t>Raj Balani</t>
        </is>
      </c>
      <c r="C28" s="29" t="inlineStr">
        <is>
          <t>Cross-Cutting</t>
        </is>
      </c>
      <c r="D28" s="29" t="inlineStr">
        <is>
          <t>Security</t>
        </is>
      </c>
      <c r="E28" s="29" t="inlineStr">
        <is>
          <t>Security pack — 12 Security Testing</t>
        </is>
      </c>
      <c r="F28" s="29" t="inlineStr">
        <is>
          <t>12 Security Testing</t>
        </is>
      </c>
      <c r="G28" s="29" t="inlineStr">
        <is>
          <t>Critical</t>
        </is>
      </c>
      <c r="H28" s="29" t="inlineStr">
        <is>
          <t>Not Started</t>
        </is>
      </c>
      <c r="I28" s="30" t="n">
        <v>46237</v>
      </c>
      <c r="J28" s="29" t="n">
        <v>4</v>
      </c>
      <c r="K28" s="29" t="n">
        <v>0</v>
      </c>
      <c r="L28" s="29" t="inlineStr"/>
      <c r="M28" s="29">
        <f>IFERROR(COUNTIFS('06 Bug Tracker'!N$3:N$5000,B28,'06 Bug Tracker'!L$3:L$5000,"&lt;&gt;Closed",'06 Bug Tracker'!L$3:L$5000,"&lt;&gt;Won't Fix",'06 Bug Tracker'!L$3:L$5000,"&lt;&gt;Duplicate"),0)</f>
        <v/>
      </c>
      <c r="N28" s="29" t="inlineStr">
        <is>
          <t>Update Status daily; link Bug ID when filing defects</t>
        </is>
      </c>
    </row>
    <row r="29">
      <c r="A29" s="27" t="inlineStr">
        <is>
          <t>QAT-027</t>
        </is>
      </c>
      <c r="B29" s="27" t="inlineStr">
        <is>
          <t>Raj Balani</t>
        </is>
      </c>
      <c r="C29" s="27" t="inlineStr">
        <is>
          <t>Cross-Cutting</t>
        </is>
      </c>
      <c r="D29" s="27" t="inlineStr">
        <is>
          <t>API</t>
        </is>
      </c>
      <c r="E29" s="27" t="inlineStr">
        <is>
          <t>API pack — 09 API Testing</t>
        </is>
      </c>
      <c r="F29" s="27" t="inlineStr">
        <is>
          <t>09 API Testing</t>
        </is>
      </c>
      <c r="G29" s="27" t="inlineStr">
        <is>
          <t>High</t>
        </is>
      </c>
      <c r="H29" s="27" t="inlineStr">
        <is>
          <t>Not Started</t>
        </is>
      </c>
      <c r="I29" s="28" t="n">
        <v>46237</v>
      </c>
      <c r="J29" s="27" t="n">
        <v>4</v>
      </c>
      <c r="K29" s="27" t="n">
        <v>0</v>
      </c>
      <c r="L29" s="27" t="inlineStr"/>
      <c r="M29" s="27">
        <f>IFERROR(COUNTIFS('06 Bug Tracker'!N$3:N$5000,B29,'06 Bug Tracker'!L$3:L$5000,"&lt;&gt;Closed",'06 Bug Tracker'!L$3:L$5000,"&lt;&gt;Won't Fix",'06 Bug Tracker'!L$3:L$5000,"&lt;&gt;Duplicate"),0)</f>
        <v/>
      </c>
      <c r="N29" s="27" t="inlineStr">
        <is>
          <t>Update Status daily; link Bug ID when filing defects</t>
        </is>
      </c>
    </row>
    <row r="30">
      <c r="A30" s="29" t="inlineStr">
        <is>
          <t>QAT-028</t>
        </is>
      </c>
      <c r="B30" s="29" t="inlineStr">
        <is>
          <t>Shreya Patil</t>
        </is>
      </c>
      <c r="C30" s="29" t="inlineStr">
        <is>
          <t>Cross-Cutting</t>
        </is>
      </c>
      <c r="D30" s="29" t="inlineStr">
        <is>
          <t>E2E</t>
        </is>
      </c>
      <c r="E30" s="29" t="inlineStr">
        <is>
          <t>E2E golden paths — 05 E2E User Flows</t>
        </is>
      </c>
      <c r="F30" s="29" t="inlineStr">
        <is>
          <t>05 E2E User Flows</t>
        </is>
      </c>
      <c r="G30" s="29" t="inlineStr">
        <is>
          <t>Critical</t>
        </is>
      </c>
      <c r="H30" s="29" t="inlineStr">
        <is>
          <t>Not Started</t>
        </is>
      </c>
      <c r="I30" s="30" t="n">
        <v>46237</v>
      </c>
      <c r="J30" s="29" t="n">
        <v>5</v>
      </c>
      <c r="K30" s="29" t="n">
        <v>0</v>
      </c>
      <c r="L30" s="29" t="inlineStr"/>
      <c r="M30" s="29">
        <f>IFERROR(COUNTIFS('06 Bug Tracker'!N$3:N$5000,B30,'06 Bug Tracker'!L$3:L$5000,"&lt;&gt;Closed",'06 Bug Tracker'!L$3:L$5000,"&lt;&gt;Won't Fix",'06 Bug Tracker'!L$3:L$5000,"&lt;&gt;Duplicate"),0)</f>
        <v/>
      </c>
      <c r="N30" s="29" t="inlineStr">
        <is>
          <t>Update Status daily; link Bug ID when filing defects</t>
        </is>
      </c>
    </row>
    <row r="31">
      <c r="A31" s="27" t="inlineStr">
        <is>
          <t>QAT-029</t>
        </is>
      </c>
      <c r="B31" s="27" t="inlineStr">
        <is>
          <t>Raj Balani</t>
        </is>
      </c>
      <c r="C31" s="27" t="inlineStr">
        <is>
          <t>Cross-Cutting</t>
        </is>
      </c>
      <c r="D31" s="27" t="inlineStr">
        <is>
          <t>Retest</t>
        </is>
      </c>
      <c r="E31" s="27" t="inlineStr">
        <is>
          <t>Retest queue — bugs in Retest status</t>
        </is>
      </c>
      <c r="F31" s="27" t="inlineStr">
        <is>
          <t>bugs in Retest status</t>
        </is>
      </c>
      <c r="G31" s="27" t="inlineStr">
        <is>
          <t>Critical</t>
        </is>
      </c>
      <c r="H31" s="27" t="inlineStr">
        <is>
          <t>Not Started</t>
        </is>
      </c>
      <c r="I31" s="28" t="n">
        <v>46237</v>
      </c>
      <c r="J31" s="27" t="n">
        <v>3</v>
      </c>
      <c r="K31" s="27" t="n">
        <v>0</v>
      </c>
      <c r="L31" s="27" t="inlineStr"/>
      <c r="M31" s="27">
        <f>IFERROR(COUNTIFS('06 Bug Tracker'!N$3:N$5000,B31,'06 Bug Tracker'!L$3:L$5000,"&lt;&gt;Closed",'06 Bug Tracker'!L$3:L$5000,"&lt;&gt;Won't Fix",'06 Bug Tracker'!L$3:L$5000,"&lt;&gt;Duplicate"),0)</f>
        <v/>
      </c>
      <c r="N31" s="27" t="inlineStr">
        <is>
          <t>Update Status daily; link Bug ID when filing defects</t>
        </is>
      </c>
    </row>
    <row r="32">
      <c r="A32" s="29" t="inlineStr">
        <is>
          <t>QAT-030</t>
        </is>
      </c>
      <c r="B32" s="29" t="inlineStr">
        <is>
          <t>Shreya Patil</t>
        </is>
      </c>
      <c r="C32" s="29" t="inlineStr">
        <is>
          <t>Cross-Cutting</t>
        </is>
      </c>
      <c r="D32" s="29" t="inlineStr">
        <is>
          <t>Retest</t>
        </is>
      </c>
      <c r="E32" s="29" t="inlineStr">
        <is>
          <t>Retest queue — bugs in Retest status (pair)</t>
        </is>
      </c>
      <c r="F32" s="29" t="inlineStr">
        <is>
          <t>bugs in Retest status (pair)</t>
        </is>
      </c>
      <c r="G32" s="29" t="inlineStr">
        <is>
          <t>Critical</t>
        </is>
      </c>
      <c r="H32" s="29" t="inlineStr">
        <is>
          <t>Not Started</t>
        </is>
      </c>
      <c r="I32" s="30" t="n">
        <v>46237</v>
      </c>
      <c r="J32" s="29" t="n">
        <v>3</v>
      </c>
      <c r="K32" s="29" t="n">
        <v>0</v>
      </c>
      <c r="L32" s="29" t="inlineStr"/>
      <c r="M32" s="29">
        <f>IFERROR(COUNTIFS('06 Bug Tracker'!N$3:N$5000,B32,'06 Bug Tracker'!L$3:L$5000,"&lt;&gt;Closed",'06 Bug Tracker'!L$3:L$5000,"&lt;&gt;Won't Fix",'06 Bug Tracker'!L$3:L$5000,"&lt;&gt;Duplicate"),0)</f>
        <v/>
      </c>
      <c r="N32" s="29" t="inlineStr">
        <is>
          <t>Update Status daily; link Bug ID when filing defects</t>
        </is>
      </c>
    </row>
    <row r="33">
      <c r="A33" s="31" t="inlineStr">
        <is>
          <t>TOTAL / KPIs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>
        <f>SUM(J3:J32)</f>
        <v/>
      </c>
      <c r="K33" s="31">
        <f>SUM(K3:K32)</f>
        <v/>
      </c>
      <c r="L33" s="31" t="n"/>
      <c r="M33" s="31">
        <f>SUM(M3:M32)</f>
        <v/>
      </c>
      <c r="N33" s="31" t="n"/>
    </row>
    <row r="35">
      <c r="A35" t="inlineStr">
        <is>
          <t>Shreya open bugs (Reported By)</t>
        </is>
      </c>
      <c r="B35">
        <f>IFERROR(COUNTIFS('06 Bug Tracker'!N3:N5000,"Shreya Patil",'06 Bug Tracker'!L3:L5000,"&lt;&gt;Closed",'06 Bug Tracker'!L3:L5000,"&lt;&gt;Won't Fix",'06 Bug Tracker'!L3:L5000,"&lt;&gt;Duplicate"),0)</f>
        <v/>
      </c>
    </row>
    <row r="36">
      <c r="A36" t="inlineStr">
        <is>
          <t>Raj open bugs (Reported By)</t>
        </is>
      </c>
      <c r="B36">
        <f>IFERROR(COUNTIFS('06 Bug Tracker'!N3:N5000,"Raj Balani",'06 Bug Tracker'!L3:L5000,"&lt;&gt;Closed",'06 Bug Tracker'!L3:L5000,"&lt;&gt;Won't Fix",'06 Bug Tracker'!L3:L5000,"&lt;&gt;Duplicate"),0)</f>
        <v/>
      </c>
    </row>
    <row r="37">
      <c r="A37" t="inlineStr">
        <is>
          <t>Failed TCs (04 Pass/Fail=Fail)</t>
        </is>
      </c>
      <c r="B37">
        <f>IFERROR(COUNTIF('04 Test Case Repository'!P3:P5000,"Fail"),0)</f>
        <v/>
      </c>
    </row>
  </sheetData>
  <autoFilter ref="A2:N33"/>
  <mergeCells count="1">
    <mergeCell ref="A1:H1"/>
  </mergeCells>
  <conditionalFormatting sqref="G3:G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H3:H500">
    <cfRule type="cellIs" priority="5" operator="equal" dxfId="4">
      <formula>"Pass"</formula>
    </cfRule>
    <cfRule type="cellIs" priority="6" operator="equal" dxfId="4">
      <formula>"PASS"</formula>
    </cfRule>
    <cfRule type="cellIs" priority="7" operator="equal" dxfId="4">
      <formula>"Yes"</formula>
    </cfRule>
    <cfRule type="cellIs" priority="8" operator="equal" dxfId="5">
      <formula>"Fail"</formula>
    </cfRule>
    <cfRule type="cellIs" priority="9" operator="equal" dxfId="5">
      <formula>"FAIL"</formula>
    </cfRule>
    <cfRule type="cellIs" priority="10" operator="equal" dxfId="5">
      <formula>"No"</formula>
    </cfRule>
    <cfRule type="cellIs" priority="11" operator="equal" dxfId="6">
      <formula>"In Progress"</formula>
    </cfRule>
    <cfRule type="cellIs" priority="12" operator="equal" dxfId="6">
      <formula>"Blocked"</formula>
    </cfRule>
    <cfRule type="cellIs" priority="13" operator="equal" dxfId="6">
      <formula>"Partial"</formula>
    </cfRule>
    <cfRule type="cellIs" priority="14" operator="equal" dxfId="7">
      <formula>"Not Started"</formula>
    </cfRule>
    <cfRule type="cellIs" priority="15" operator="equal" dxfId="7">
      <formula>"Not Run"</formula>
    </cfRule>
    <cfRule type="cellIs" priority="16" operator="equal" dxfId="7">
      <formula>"Not Tested"</formula>
    </cfRule>
    <cfRule type="cellIs" priority="17" operator="equal" dxfId="7">
      <formula>"N/A"</formula>
    </cfRule>
    <cfRule type="cellIs" priority="18" operator="equal" dxfId="8">
      <formula>"Completed"</formula>
    </cfRule>
    <cfRule type="cellIs" priority="19" operator="equal" dxfId="8">
      <formula>"Complete"</formula>
    </cfRule>
    <cfRule type="cellIs" priority="20" operator="equal" dxfId="8">
      <formula>"Passed"</formula>
    </cfRule>
    <cfRule type="cellIs" priority="21" operator="equal" dxfId="8">
      <formula>"Ready"</formula>
    </cfRule>
  </conditionalFormatting>
  <dataValidations count="5">
    <dataValidation sqref="B3:B5000" showDropDown="0" showInputMessage="0" showErrorMessage="0" allowBlank="1" errorTitle="Invalid" error="Pick a value from the list" type="list">
      <formula1>Lists!$AC$2:$AC$3</formula1>
    </dataValidation>
    <dataValidation sqref="C3:C5000" showDropDown="0" showInputMessage="0" showErrorMessage="0" allowBlank="1" errorTitle="Invalid" error="Pick a value from the list" type="list">
      <formula1>Lists!$Z$2:$Z$23</formula1>
    </dataValidation>
    <dataValidation sqref="D3:D5000" showDropDown="0" showInputMessage="0" showErrorMessage="0" allowBlank="1" errorTitle="Invalid" error="Pick a value from the list" type="list">
      <formula1>Lists!$AI$2:$AI$10</formula1>
    </dataValidation>
    <dataValidation sqref="G3:G5000" showDropDown="0" showInputMessage="0" showErrorMessage="0" allowBlank="1" errorTitle="Invalid" error="Pick a value from the list" type="list">
      <formula1>Lists!$C$2:$C$5</formula1>
    </dataValidation>
    <dataValidation sqref="H3:H5000" showDropDown="0" showInputMessage="0" showErrorMessage="0" allowBlank="1" errorTitle="Invalid" error="Pick a value from the list" type="list">
      <formula1>Lists!$AJ$2:$AJ$6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3" customWidth="1" min="2" max="2"/>
    <col width="25" customWidth="1" min="3" max="3"/>
    <col width="19" customWidth="1" min="4" max="4"/>
    <col width="36" customWidth="1" min="5" max="5"/>
    <col width="36" customWidth="1" min="6" max="6"/>
    <col width="36" customWidth="1" min="7" max="7"/>
    <col width="36" customWidth="1" min="8" max="8"/>
    <col width="19" customWidth="1" min="9" max="9"/>
    <col width="12" customWidth="1" min="10" max="10"/>
    <col width="12" customWidth="1" min="11" max="11"/>
  </cols>
  <sheetData>
    <row r="1">
      <c r="A1" s="1" t="inlineStr">
        <is>
          <t>QA Team Roster — Clarify AI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QA Person</t>
        </is>
      </c>
      <c r="B2" s="26" t="inlineStr">
        <is>
          <t>Role</t>
        </is>
      </c>
      <c r="C2" s="26" t="inlineStr">
        <is>
          <t>Email</t>
        </is>
      </c>
      <c r="D2" s="26" t="inlineStr">
        <is>
          <t>Capacity Hrs/Week</t>
        </is>
      </c>
      <c r="E2" s="26" t="inlineStr">
        <is>
          <t>Skills Focus</t>
        </is>
      </c>
      <c r="F2" s="26" t="inlineStr">
        <is>
          <t>Assigned Cases</t>
        </is>
      </c>
      <c r="G2" s="26" t="inlineStr">
        <is>
          <t>Est Hours Assigned</t>
        </is>
      </c>
      <c r="H2" s="26" t="inlineStr">
        <is>
          <t>Actual Hours Logged</t>
        </is>
      </c>
      <c r="I2" s="26" t="inlineStr">
        <is>
          <t>Utilization %</t>
        </is>
      </c>
      <c r="J2" s="26" t="inlineStr">
        <is>
          <t>Status</t>
        </is>
      </c>
      <c r="K2" s="26" t="inlineStr">
        <is>
          <t>Remarks</t>
        </is>
      </c>
    </row>
    <row r="3">
      <c r="A3" s="27" t="inlineStr">
        <is>
          <t>Shreya Patil</t>
        </is>
      </c>
      <c r="B3" s="27" t="inlineStr">
        <is>
          <t>QA Engineer</t>
        </is>
      </c>
      <c r="C3" s="27" t="inlineStr">
        <is>
          <t>shreya.patil@clarify.ai</t>
        </is>
      </c>
      <c r="D3" s="27" t="n">
        <v>40</v>
      </c>
      <c r="E3" s="27" t="inlineStr">
        <is>
          <t>Practice Coach, Overlay, Mock Interview, Sessions/Debrief, Documents, UI/UX, Electron</t>
        </is>
      </c>
      <c r="F3" s="27">
        <f>COUNTIF('04 Test Case Repository'!S$3:S$5000,A3)</f>
        <v/>
      </c>
      <c r="G3" s="27">
        <f>SUMIF('04 Test Case Repository'!S$3:S$5000,A3,'04 Test Case Repository'!T$3:T$5000)</f>
        <v/>
      </c>
      <c r="H3" s="27">
        <f>SUMIF('04 Test Case Repository'!S$3:S$5000,A3,'04 Test Case Repository'!U$3:U$5000)</f>
        <v/>
      </c>
      <c r="I3" s="32">
        <f>IFERROR(H3/D3,0)</f>
        <v/>
      </c>
      <c r="J3" s="27" t="inlineStr">
        <is>
          <t>Active</t>
        </is>
      </c>
      <c r="K3" s="27" t="inlineStr"/>
    </row>
    <row r="4">
      <c r="A4" s="29" t="inlineStr">
        <is>
          <t>Raj Balani</t>
        </is>
      </c>
      <c r="B4" s="29" t="inlineStr">
        <is>
          <t>QA Engineer</t>
        </is>
      </c>
      <c r="C4" s="29" t="inlineStr">
        <is>
          <t>raj.balani@clarify.ai</t>
        </is>
      </c>
      <c r="D4" s="29" t="n">
        <v>40</v>
      </c>
      <c r="E4" s="29" t="inlineStr">
        <is>
          <t>Auth/Onboarding, Billing/Credits, Gov Exam Mock Tests, Admin, Prep Lab, Security, Regression</t>
        </is>
      </c>
      <c r="F4" s="29">
        <f>COUNTIF('04 Test Case Repository'!S$3:S$5000,A4)</f>
        <v/>
      </c>
      <c r="G4" s="29">
        <f>SUMIF('04 Test Case Repository'!S$3:S$5000,A4,'04 Test Case Repository'!T$3:T$5000)</f>
        <v/>
      </c>
      <c r="H4" s="29">
        <f>SUMIF('04 Test Case Repository'!S$3:S$5000,A4,'04 Test Case Repository'!U$3:U$5000)</f>
        <v/>
      </c>
      <c r="I4" s="33">
        <f>IFERROR(H4/D4,0)</f>
        <v/>
      </c>
      <c r="J4" s="29" t="inlineStr">
        <is>
          <t>Active</t>
        </is>
      </c>
      <c r="K4" s="29" t="inlineStr"/>
    </row>
    <row r="5">
      <c r="A5" s="31" t="inlineStr">
        <is>
          <t>TOTAL</t>
        </is>
      </c>
      <c r="B5" s="31" t="n"/>
      <c r="C5" s="31" t="n"/>
      <c r="D5" s="31">
        <f>SUM(D3:D4)</f>
        <v/>
      </c>
      <c r="E5" s="31" t="n"/>
      <c r="F5" s="31">
        <f>SUM(F3:F4)</f>
        <v/>
      </c>
      <c r="G5" s="31">
        <f>SUM(G3:G4)</f>
        <v/>
      </c>
      <c r="H5" s="31">
        <f>SUM(H3:H4)</f>
        <v/>
      </c>
      <c r="I5" s="34">
        <f>IFERROR(H5/D5,0)</f>
        <v/>
      </c>
      <c r="J5" s="31" t="n"/>
      <c r="K5" s="31" t="n"/>
    </row>
  </sheetData>
  <autoFilter ref="A2:K5"/>
  <mergeCells count="1">
    <mergeCell ref="A1:H1"/>
  </mergeCells>
  <dataValidations count="1">
    <dataValidation sqref="J3:J50" showDropDown="0" showInputMessage="0" showErrorMessage="0" allowBlank="1" errorTitle="Invalid" error="Pick a value from the list" type="list">
      <formula1>Lists!$A$2:$A$9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1" customWidth="1" min="2" max="2"/>
    <col width="23" customWidth="1" min="3" max="3"/>
    <col width="19" customWidth="1" min="4" max="4"/>
    <col width="31" customWidth="1" min="5" max="5"/>
    <col width="36" customWidth="1" min="6" max="6"/>
    <col width="36" customWidth="1" min="7" max="7"/>
    <col width="36" customWidth="1" min="8" max="8"/>
    <col width="36" customWidth="1" min="9" max="9"/>
    <col width="12" customWidth="1" min="10" max="10"/>
    <col width="12" customWidth="1" min="11" max="11"/>
  </cols>
  <sheetData>
    <row r="1">
      <c r="A1" s="1" t="inlineStr">
        <is>
          <t>Dev Team Roster — Clarify AI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Developer</t>
        </is>
      </c>
      <c r="B2" s="26" t="inlineStr">
        <is>
          <t>Role</t>
        </is>
      </c>
      <c r="C2" s="26" t="inlineStr">
        <is>
          <t>Email</t>
        </is>
      </c>
      <c r="D2" s="26" t="inlineStr">
        <is>
          <t>Capacity Hrs/Week</t>
        </is>
      </c>
      <c r="E2" s="26" t="inlineStr">
        <is>
          <t>Focus Area</t>
        </is>
      </c>
      <c r="F2" s="26" t="inlineStr">
        <is>
          <t>Open Bugs Assigned</t>
        </is>
      </c>
      <c r="G2" s="26" t="inlineStr">
        <is>
          <t>In Progress</t>
        </is>
      </c>
      <c r="H2" s="26" t="inlineStr">
        <is>
          <t>Ready for Retest</t>
        </is>
      </c>
      <c r="I2" s="26" t="inlineStr">
        <is>
          <t>Utilization Hint</t>
        </is>
      </c>
      <c r="J2" s="26" t="inlineStr">
        <is>
          <t>Status</t>
        </is>
      </c>
      <c r="K2" s="26" t="inlineStr">
        <is>
          <t>Remarks</t>
        </is>
      </c>
    </row>
    <row r="3">
      <c r="A3" s="27" t="inlineStr">
        <is>
          <t>Dev Lead</t>
        </is>
      </c>
      <c r="B3" s="27" t="inlineStr">
        <is>
          <t>Engineering Lead</t>
        </is>
      </c>
      <c r="C3" s="27" t="inlineStr">
        <is>
          <t>dev.lead@clarify.ai</t>
        </is>
      </c>
      <c r="D3" s="27" t="n">
        <v>40</v>
      </c>
      <c r="E3" s="27" t="inlineStr">
        <is>
          <t>Triage, release, blockers</t>
        </is>
      </c>
      <c r="F3" s="27">
        <f>IFERROR(COUNTIFS('06 Bug Tracker'!M$3:M$5000,A3,'06 Bug Tracker'!L$3:L$5000,"&lt;&gt;Closed",'06 Bug Tracker'!L$3:L$5000,"&lt;&gt;Won't Fix",'06 Bug Tracker'!L$3:L$5000,"&lt;&gt;Duplicate"),0)</f>
        <v/>
      </c>
      <c r="G3" s="27">
        <f>IFERROR(COUNTIFS('06 Bug Tracker'!M$3:M$5000,A3,'06 Bug Tracker'!L$3:L$5000,"In Progress"),0)</f>
        <v/>
      </c>
      <c r="H3" s="27">
        <f>IFERROR(COUNTIFS('06 Bug Tracker'!M$3:M$5000,A3,'06 Bug Tracker'!L$3:L$5000,"Retest")+COUNTIFS('06 Bug Tracker'!M$3:M$5000,A3,'06 Bug Tracker'!L$3:L$5000,"Fixed"),0)</f>
        <v/>
      </c>
      <c r="I3" s="27">
        <f>IF(F3&gt;8,"Overloaded",IF(F3&gt;4,"Busy","OK"))</f>
        <v/>
      </c>
      <c r="J3" s="27" t="inlineStr">
        <is>
          <t>Active</t>
        </is>
      </c>
      <c r="K3" s="27" t="inlineStr"/>
    </row>
    <row r="4">
      <c r="A4" s="29" t="inlineStr">
        <is>
          <t>Live Coach Dev</t>
        </is>
      </c>
      <c r="B4" s="29" t="inlineStr">
        <is>
          <t>Frontend Engineer</t>
        </is>
      </c>
      <c r="C4" s="29" t="inlineStr">
        <is>
          <t>live.coach@clarify.ai</t>
        </is>
      </c>
      <c r="D4" s="29" t="n">
        <v>40</v>
      </c>
      <c r="E4" s="29" t="inlineStr">
        <is>
          <t>Practice Coach, Overlay, Mock</t>
        </is>
      </c>
      <c r="F4" s="29">
        <f>IFERROR(COUNTIFS('06 Bug Tracker'!M$3:M$5000,A4,'06 Bug Tracker'!L$3:L$5000,"&lt;&gt;Closed",'06 Bug Tracker'!L$3:L$5000,"&lt;&gt;Won't Fix",'06 Bug Tracker'!L$3:L$5000,"&lt;&gt;Duplicate"),0)</f>
        <v/>
      </c>
      <c r="G4" s="29">
        <f>IFERROR(COUNTIFS('06 Bug Tracker'!M$3:M$5000,A4,'06 Bug Tracker'!L$3:L$5000,"In Progress"),0)</f>
        <v/>
      </c>
      <c r="H4" s="29">
        <f>IFERROR(COUNTIFS('06 Bug Tracker'!M$3:M$5000,A4,'06 Bug Tracker'!L$3:L$5000,"Retest")+COUNTIFS('06 Bug Tracker'!M$3:M$5000,A4,'06 Bug Tracker'!L$3:L$5000,"Fixed"),0)</f>
        <v/>
      </c>
      <c r="I4" s="29">
        <f>IF(F4&gt;8,"Overloaded",IF(F4&gt;4,"Busy","OK"))</f>
        <v/>
      </c>
      <c r="J4" s="29" t="inlineStr">
        <is>
          <t>Active</t>
        </is>
      </c>
      <c r="K4" s="29" t="inlineStr"/>
    </row>
    <row r="5">
      <c r="A5" s="27" t="inlineStr">
        <is>
          <t>Platform Dev</t>
        </is>
      </c>
      <c r="B5" s="27" t="inlineStr">
        <is>
          <t>Full-Stack Engineer</t>
        </is>
      </c>
      <c r="C5" s="27" t="inlineStr">
        <is>
          <t>platform@clarify.ai</t>
        </is>
      </c>
      <c r="D5" s="27" t="n">
        <v>40</v>
      </c>
      <c r="E5" s="27" t="inlineStr">
        <is>
          <t>Auth, Billing, Admin, Edge</t>
        </is>
      </c>
      <c r="F5" s="27">
        <f>IFERROR(COUNTIFS('06 Bug Tracker'!M$3:M$5000,A5,'06 Bug Tracker'!L$3:L$5000,"&lt;&gt;Closed",'06 Bug Tracker'!L$3:L$5000,"&lt;&gt;Won't Fix",'06 Bug Tracker'!L$3:L$5000,"&lt;&gt;Duplicate"),0)</f>
        <v/>
      </c>
      <c r="G5" s="27">
        <f>IFERROR(COUNTIFS('06 Bug Tracker'!M$3:M$5000,A5,'06 Bug Tracker'!L$3:L$5000,"In Progress"),0)</f>
        <v/>
      </c>
      <c r="H5" s="27">
        <f>IFERROR(COUNTIFS('06 Bug Tracker'!M$3:M$5000,A5,'06 Bug Tracker'!L$3:L$5000,"Retest")+COUNTIFS('06 Bug Tracker'!M$3:M$5000,A5,'06 Bug Tracker'!L$3:L$5000,"Fixed"),0)</f>
        <v/>
      </c>
      <c r="I5" s="27">
        <f>IF(F5&gt;8,"Overloaded",IF(F5&gt;4,"Busy","OK"))</f>
        <v/>
      </c>
      <c r="J5" s="27" t="inlineStr">
        <is>
          <t>Active</t>
        </is>
      </c>
      <c r="K5" s="27" t="inlineStr"/>
    </row>
    <row r="6">
      <c r="A6" s="29" t="inlineStr">
        <is>
          <t>GovExams Dev</t>
        </is>
      </c>
      <c r="B6" s="29" t="inlineStr">
        <is>
          <t>Full-Stack Engineer</t>
        </is>
      </c>
      <c r="C6" s="29" t="inlineStr">
        <is>
          <t>govexams@clarify.ai</t>
        </is>
      </c>
      <c r="D6" s="29" t="n">
        <v>40</v>
      </c>
      <c r="E6" s="29" t="inlineStr">
        <is>
          <t>Mock tests, question bank</t>
        </is>
      </c>
      <c r="F6" s="29">
        <f>IFERROR(COUNTIFS('06 Bug Tracker'!M$3:M$5000,A6,'06 Bug Tracker'!L$3:L$5000,"&lt;&gt;Closed",'06 Bug Tracker'!L$3:L$5000,"&lt;&gt;Won't Fix",'06 Bug Tracker'!L$3:L$5000,"&lt;&gt;Duplicate"),0)</f>
        <v/>
      </c>
      <c r="G6" s="29">
        <f>IFERROR(COUNTIFS('06 Bug Tracker'!M$3:M$5000,A6,'06 Bug Tracker'!L$3:L$5000,"In Progress"),0)</f>
        <v/>
      </c>
      <c r="H6" s="29">
        <f>IFERROR(COUNTIFS('06 Bug Tracker'!M$3:M$5000,A6,'06 Bug Tracker'!L$3:L$5000,"Retest")+COUNTIFS('06 Bug Tracker'!M$3:M$5000,A6,'06 Bug Tracker'!L$3:L$5000,"Fixed"),0)</f>
        <v/>
      </c>
      <c r="I6" s="29">
        <f>IF(F6&gt;8,"Overloaded",IF(F6&gt;4,"Busy","OK"))</f>
        <v/>
      </c>
      <c r="J6" s="29" t="inlineStr">
        <is>
          <t>Active</t>
        </is>
      </c>
      <c r="K6" s="29" t="inlineStr"/>
    </row>
    <row r="7">
      <c r="A7" s="27" t="inlineStr">
        <is>
          <t>Desktop Dev</t>
        </is>
      </c>
      <c r="B7" s="27" t="inlineStr">
        <is>
          <t>Electron Engineer</t>
        </is>
      </c>
      <c r="C7" s="27" t="inlineStr">
        <is>
          <t>desktop@clarify.ai</t>
        </is>
      </c>
      <c r="D7" s="27" t="n">
        <v>40</v>
      </c>
      <c r="E7" s="27" t="inlineStr">
        <is>
          <t>Electron overlay, hotkeys</t>
        </is>
      </c>
      <c r="F7" s="27">
        <f>IFERROR(COUNTIFS('06 Bug Tracker'!M$3:M$5000,A7,'06 Bug Tracker'!L$3:L$5000,"&lt;&gt;Closed",'06 Bug Tracker'!L$3:L$5000,"&lt;&gt;Won't Fix",'06 Bug Tracker'!L$3:L$5000,"&lt;&gt;Duplicate"),0)</f>
        <v/>
      </c>
      <c r="G7" s="27">
        <f>IFERROR(COUNTIFS('06 Bug Tracker'!M$3:M$5000,A7,'06 Bug Tracker'!L$3:L$5000,"In Progress"),0)</f>
        <v/>
      </c>
      <c r="H7" s="27">
        <f>IFERROR(COUNTIFS('06 Bug Tracker'!M$3:M$5000,A7,'06 Bug Tracker'!L$3:L$5000,"Retest")+COUNTIFS('06 Bug Tracker'!M$3:M$5000,A7,'06 Bug Tracker'!L$3:L$5000,"Fixed"),0)</f>
        <v/>
      </c>
      <c r="I7" s="27">
        <f>IF(F7&gt;8,"Overloaded",IF(F7&gt;4,"Busy","OK"))</f>
        <v/>
      </c>
      <c r="J7" s="27" t="inlineStr">
        <is>
          <t>Active</t>
        </is>
      </c>
      <c r="K7" s="27" t="inlineStr"/>
    </row>
    <row r="8">
      <c r="A8" s="31" t="inlineStr">
        <is>
          <t>TOTAL</t>
        </is>
      </c>
      <c r="B8" s="31" t="n"/>
      <c r="C8" s="31" t="n"/>
      <c r="D8" s="31">
        <f>SUM(D3:D7)</f>
        <v/>
      </c>
      <c r="E8" s="31" t="n"/>
      <c r="F8" s="31">
        <f>SUM(F3:F7)</f>
        <v/>
      </c>
      <c r="G8" s="31">
        <f>SUM(G3:G7)</f>
        <v/>
      </c>
      <c r="H8" s="31">
        <f>SUM(H3:H7)</f>
        <v/>
      </c>
      <c r="I8" s="31" t="n"/>
      <c r="J8" s="31" t="n"/>
      <c r="K8" s="31" t="n"/>
    </row>
  </sheetData>
  <autoFilter ref="A2:K8"/>
  <mergeCells count="1">
    <mergeCell ref="A1:H1"/>
  </mergeCells>
  <dataValidations count="1">
    <dataValidation sqref="J3:J50" showDropDown="0" showInputMessage="0" showErrorMessage="0" allowBlank="1" errorTitle="Invalid" error="Pick a value from the list" type="list">
      <formula1>Lists!$A$2:$A$9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36" customWidth="1" min="9" max="9"/>
    <col width="36" customWidth="1" min="10" max="10"/>
    <col width="12" customWidth="1" min="11" max="11"/>
    <col width="23" customWidth="1" min="12" max="12"/>
    <col width="23" customWidth="1" min="13" max="13"/>
    <col width="15" customWidth="1" min="14" max="14"/>
    <col width="12" customWidth="1" min="15" max="15"/>
  </cols>
  <sheetData>
    <row r="1">
      <c r="A1" s="1" t="inlineStr">
        <is>
          <t>Dev Tasks — live mirror of 06 Bug Tracker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Bug ID</t>
        </is>
      </c>
      <c r="B2" s="26" t="inlineStr">
        <is>
          <t>Title</t>
        </is>
      </c>
      <c r="C2" s="26" t="inlineStr">
        <is>
          <t>Module</t>
        </is>
      </c>
      <c r="D2" s="26" t="inlineStr">
        <is>
          <t>Severity</t>
        </is>
      </c>
      <c r="E2" s="26" t="inlineStr">
        <is>
          <t>Priority</t>
        </is>
      </c>
      <c r="F2" s="26" t="inlineStr">
        <is>
          <t>Bug Status</t>
        </is>
      </c>
      <c r="G2" s="26" t="inlineStr">
        <is>
          <t>Reported By (QA)</t>
        </is>
      </c>
      <c r="H2" s="26" t="inlineStr">
        <is>
          <t>Assigned Developer</t>
        </is>
      </c>
      <c r="I2" s="26" t="inlineStr">
        <is>
          <t>Needs Dev Action</t>
        </is>
      </c>
      <c r="J2" s="26" t="inlineStr">
        <is>
          <t>Dev Status</t>
        </is>
      </c>
      <c r="K2" s="26" t="inlineStr">
        <is>
          <t>Fix ETA</t>
        </is>
      </c>
      <c r="L2" s="26" t="inlineStr">
        <is>
          <t>Build Fixed</t>
        </is>
      </c>
      <c r="M2" s="26" t="inlineStr">
        <is>
          <t>Retest Owner (QA)</t>
        </is>
      </c>
      <c r="N2" s="26" t="inlineStr">
        <is>
          <t>Retest Result</t>
        </is>
      </c>
      <c r="O2" s="26" t="inlineStr">
        <is>
          <t>Dev Notes</t>
        </is>
      </c>
    </row>
    <row r="3">
      <c r="A3" s="27">
        <f>'06 Bug Tracker'!A3</f>
        <v/>
      </c>
      <c r="B3" s="27">
        <f>'06 Bug Tracker'!B3</f>
        <v/>
      </c>
      <c r="C3" s="27">
        <f>'06 Bug Tracker'!D3</f>
        <v/>
      </c>
      <c r="D3" s="27">
        <f>'06 Bug Tracker'!J3</f>
        <v/>
      </c>
      <c r="E3" s="27">
        <f>'06 Bug Tracker'!K3</f>
        <v/>
      </c>
      <c r="F3" s="27">
        <f>'06 Bug Tracker'!L3</f>
        <v/>
      </c>
      <c r="G3" s="27">
        <f>'06 Bug Tracker'!N3</f>
        <v/>
      </c>
      <c r="H3" s="27">
        <f>'06 Bug Tracker'!M3</f>
        <v/>
      </c>
      <c r="I3" s="27">
        <f>IF(A3="","",IF(OR(F3="New",F3="Open",F3="In Progress",F3="Fixed",F3="Retest"),"Yes","No"))</f>
        <v/>
      </c>
      <c r="J3" s="27">
        <f>IF(A3="","",IF(F3="Retest","Fixed — Ready for Retest",IF(F3="Fixed","Fixed — Ready for Retest",IF(F3="In Progress","In Progress",IF(OR(F3="New",F3="Open"),"Queued",IF(F3="Closed","Done",IF(F3="Won't Fix","Won't Fix","")))))))</f>
        <v/>
      </c>
      <c r="K3" s="27" t="inlineStr"/>
      <c r="L3" s="27">
        <f>'06 Bug Tracker'!R3</f>
        <v/>
      </c>
      <c r="M3" s="27">
        <f>'06 Bug Tracker'!N3</f>
        <v/>
      </c>
      <c r="N3" s="27" t="inlineStr"/>
      <c r="O3" s="27" t="inlineStr"/>
    </row>
    <row r="4">
      <c r="A4" s="29">
        <f>'06 Bug Tracker'!A4</f>
        <v/>
      </c>
      <c r="B4" s="29">
        <f>'06 Bug Tracker'!B4</f>
        <v/>
      </c>
      <c r="C4" s="29">
        <f>'06 Bug Tracker'!D4</f>
        <v/>
      </c>
      <c r="D4" s="29">
        <f>'06 Bug Tracker'!J4</f>
        <v/>
      </c>
      <c r="E4" s="29">
        <f>'06 Bug Tracker'!K4</f>
        <v/>
      </c>
      <c r="F4" s="29">
        <f>'06 Bug Tracker'!L4</f>
        <v/>
      </c>
      <c r="G4" s="29">
        <f>'06 Bug Tracker'!N4</f>
        <v/>
      </c>
      <c r="H4" s="29">
        <f>'06 Bug Tracker'!M4</f>
        <v/>
      </c>
      <c r="I4" s="29">
        <f>IF(A4="","",IF(OR(F4="New",F4="Open",F4="In Progress",F4="Fixed",F4="Retest"),"Yes","No"))</f>
        <v/>
      </c>
      <c r="J4" s="29">
        <f>IF(A4="","",IF(F4="Retest","Fixed — Ready for Retest",IF(F4="Fixed","Fixed — Ready for Retest",IF(F4="In Progress","In Progress",IF(OR(F4="New",F4="Open"),"Queued",IF(F4="Closed","Done",IF(F4="Won't Fix","Won't Fix","")))))))</f>
        <v/>
      </c>
      <c r="K4" s="29" t="inlineStr"/>
      <c r="L4" s="29">
        <f>'06 Bug Tracker'!R4</f>
        <v/>
      </c>
      <c r="M4" s="29">
        <f>'06 Bug Tracker'!N4</f>
        <v/>
      </c>
      <c r="N4" s="29" t="inlineStr"/>
      <c r="O4" s="29" t="inlineStr"/>
    </row>
    <row r="5">
      <c r="A5" s="27">
        <f>'06 Bug Tracker'!A5</f>
        <v/>
      </c>
      <c r="B5" s="27">
        <f>'06 Bug Tracker'!B5</f>
        <v/>
      </c>
      <c r="C5" s="27">
        <f>'06 Bug Tracker'!D5</f>
        <v/>
      </c>
      <c r="D5" s="27">
        <f>'06 Bug Tracker'!J5</f>
        <v/>
      </c>
      <c r="E5" s="27">
        <f>'06 Bug Tracker'!K5</f>
        <v/>
      </c>
      <c r="F5" s="27">
        <f>'06 Bug Tracker'!L5</f>
        <v/>
      </c>
      <c r="G5" s="27">
        <f>'06 Bug Tracker'!N5</f>
        <v/>
      </c>
      <c r="H5" s="27">
        <f>'06 Bug Tracker'!M5</f>
        <v/>
      </c>
      <c r="I5" s="27">
        <f>IF(A5="","",IF(OR(F5="New",F5="Open",F5="In Progress",F5="Fixed",F5="Retest"),"Yes","No"))</f>
        <v/>
      </c>
      <c r="J5" s="27">
        <f>IF(A5="","",IF(F5="Retest","Fixed — Ready for Retest",IF(F5="Fixed","Fixed — Ready for Retest",IF(F5="In Progress","In Progress",IF(OR(F5="New",F5="Open"),"Queued",IF(F5="Closed","Done",IF(F5="Won't Fix","Won't Fix","")))))))</f>
        <v/>
      </c>
      <c r="K5" s="27" t="inlineStr"/>
      <c r="L5" s="27">
        <f>'06 Bug Tracker'!R5</f>
        <v/>
      </c>
      <c r="M5" s="27">
        <f>'06 Bug Tracker'!N5</f>
        <v/>
      </c>
      <c r="N5" s="27" t="inlineStr"/>
      <c r="O5" s="27" t="inlineStr"/>
    </row>
    <row r="6">
      <c r="A6" s="29">
        <f>'06 Bug Tracker'!A6</f>
        <v/>
      </c>
      <c r="B6" s="29">
        <f>'06 Bug Tracker'!B6</f>
        <v/>
      </c>
      <c r="C6" s="29">
        <f>'06 Bug Tracker'!D6</f>
        <v/>
      </c>
      <c r="D6" s="29">
        <f>'06 Bug Tracker'!J6</f>
        <v/>
      </c>
      <c r="E6" s="29">
        <f>'06 Bug Tracker'!K6</f>
        <v/>
      </c>
      <c r="F6" s="29">
        <f>'06 Bug Tracker'!L6</f>
        <v/>
      </c>
      <c r="G6" s="29">
        <f>'06 Bug Tracker'!N6</f>
        <v/>
      </c>
      <c r="H6" s="29">
        <f>'06 Bug Tracker'!M6</f>
        <v/>
      </c>
      <c r="I6" s="29">
        <f>IF(A6="","",IF(OR(F6="New",F6="Open",F6="In Progress",F6="Fixed",F6="Retest"),"Yes","No"))</f>
        <v/>
      </c>
      <c r="J6" s="29">
        <f>IF(A6="","",IF(F6="Retest","Fixed — Ready for Retest",IF(F6="Fixed","Fixed — Ready for Retest",IF(F6="In Progress","In Progress",IF(OR(F6="New",F6="Open"),"Queued",IF(F6="Closed","Done",IF(F6="Won't Fix","Won't Fix","")))))))</f>
        <v/>
      </c>
      <c r="K6" s="29" t="inlineStr"/>
      <c r="L6" s="29">
        <f>'06 Bug Tracker'!R6</f>
        <v/>
      </c>
      <c r="M6" s="29">
        <f>'06 Bug Tracker'!N6</f>
        <v/>
      </c>
      <c r="N6" s="29" t="inlineStr"/>
      <c r="O6" s="29" t="inlineStr"/>
    </row>
    <row r="7">
      <c r="A7" s="27">
        <f>'06 Bug Tracker'!A7</f>
        <v/>
      </c>
      <c r="B7" s="27">
        <f>'06 Bug Tracker'!B7</f>
        <v/>
      </c>
      <c r="C7" s="27">
        <f>'06 Bug Tracker'!D7</f>
        <v/>
      </c>
      <c r="D7" s="27">
        <f>'06 Bug Tracker'!J7</f>
        <v/>
      </c>
      <c r="E7" s="27">
        <f>'06 Bug Tracker'!K7</f>
        <v/>
      </c>
      <c r="F7" s="27">
        <f>'06 Bug Tracker'!L7</f>
        <v/>
      </c>
      <c r="G7" s="27">
        <f>'06 Bug Tracker'!N7</f>
        <v/>
      </c>
      <c r="H7" s="27">
        <f>'06 Bug Tracker'!M7</f>
        <v/>
      </c>
      <c r="I7" s="27">
        <f>IF(A7="","",IF(OR(F7="New",F7="Open",F7="In Progress",F7="Fixed",F7="Retest"),"Yes","No"))</f>
        <v/>
      </c>
      <c r="J7" s="27">
        <f>IF(A7="","",IF(F7="Retest","Fixed — Ready for Retest",IF(F7="Fixed","Fixed — Ready for Retest",IF(F7="In Progress","In Progress",IF(OR(F7="New",F7="Open"),"Queued",IF(F7="Closed","Done",IF(F7="Won't Fix","Won't Fix","")))))))</f>
        <v/>
      </c>
      <c r="K7" s="27" t="inlineStr"/>
      <c r="L7" s="27">
        <f>'06 Bug Tracker'!R7</f>
        <v/>
      </c>
      <c r="M7" s="27">
        <f>'06 Bug Tracker'!N7</f>
        <v/>
      </c>
      <c r="N7" s="27" t="inlineStr"/>
      <c r="O7" s="27" t="inlineStr"/>
    </row>
    <row r="8">
      <c r="A8" s="29">
        <f>'06 Bug Tracker'!A8</f>
        <v/>
      </c>
      <c r="B8" s="29">
        <f>'06 Bug Tracker'!B8</f>
        <v/>
      </c>
      <c r="C8" s="29">
        <f>'06 Bug Tracker'!D8</f>
        <v/>
      </c>
      <c r="D8" s="29">
        <f>'06 Bug Tracker'!J8</f>
        <v/>
      </c>
      <c r="E8" s="29">
        <f>'06 Bug Tracker'!K8</f>
        <v/>
      </c>
      <c r="F8" s="29">
        <f>'06 Bug Tracker'!L8</f>
        <v/>
      </c>
      <c r="G8" s="29">
        <f>'06 Bug Tracker'!N8</f>
        <v/>
      </c>
      <c r="H8" s="29">
        <f>'06 Bug Tracker'!M8</f>
        <v/>
      </c>
      <c r="I8" s="29">
        <f>IF(A8="","",IF(OR(F8="New",F8="Open",F8="In Progress",F8="Fixed",F8="Retest"),"Yes","No"))</f>
        <v/>
      </c>
      <c r="J8" s="29">
        <f>IF(A8="","",IF(F8="Retest","Fixed — Ready for Retest",IF(F8="Fixed","Fixed — Ready for Retest",IF(F8="In Progress","In Progress",IF(OR(F8="New",F8="Open"),"Queued",IF(F8="Closed","Done",IF(F8="Won't Fix","Won't Fix","")))))))</f>
        <v/>
      </c>
      <c r="K8" s="29" t="inlineStr"/>
      <c r="L8" s="29">
        <f>'06 Bug Tracker'!R8</f>
        <v/>
      </c>
      <c r="M8" s="29">
        <f>'06 Bug Tracker'!N8</f>
        <v/>
      </c>
      <c r="N8" s="29" t="inlineStr"/>
      <c r="O8" s="29" t="inlineStr"/>
    </row>
    <row r="9">
      <c r="A9" s="27">
        <f>'06 Bug Tracker'!A9</f>
        <v/>
      </c>
      <c r="B9" s="27">
        <f>'06 Bug Tracker'!B9</f>
        <v/>
      </c>
      <c r="C9" s="27">
        <f>'06 Bug Tracker'!D9</f>
        <v/>
      </c>
      <c r="D9" s="27">
        <f>'06 Bug Tracker'!J9</f>
        <v/>
      </c>
      <c r="E9" s="27">
        <f>'06 Bug Tracker'!K9</f>
        <v/>
      </c>
      <c r="F9" s="27">
        <f>'06 Bug Tracker'!L9</f>
        <v/>
      </c>
      <c r="G9" s="27">
        <f>'06 Bug Tracker'!N9</f>
        <v/>
      </c>
      <c r="H9" s="27">
        <f>'06 Bug Tracker'!M9</f>
        <v/>
      </c>
      <c r="I9" s="27">
        <f>IF(A9="","",IF(OR(F9="New",F9="Open",F9="In Progress",F9="Fixed",F9="Retest"),"Yes","No"))</f>
        <v/>
      </c>
      <c r="J9" s="27">
        <f>IF(A9="","",IF(F9="Retest","Fixed — Ready for Retest",IF(F9="Fixed","Fixed — Ready for Retest",IF(F9="In Progress","In Progress",IF(OR(F9="New",F9="Open"),"Queued",IF(F9="Closed","Done",IF(F9="Won't Fix","Won't Fix","")))))))</f>
        <v/>
      </c>
      <c r="K9" s="27" t="inlineStr"/>
      <c r="L9" s="27">
        <f>'06 Bug Tracker'!R9</f>
        <v/>
      </c>
      <c r="M9" s="27">
        <f>'06 Bug Tracker'!N9</f>
        <v/>
      </c>
      <c r="N9" s="27" t="inlineStr"/>
      <c r="O9" s="27" t="inlineStr"/>
    </row>
    <row r="10">
      <c r="A10" s="29">
        <f>'06 Bug Tracker'!A10</f>
        <v/>
      </c>
      <c r="B10" s="29">
        <f>'06 Bug Tracker'!B10</f>
        <v/>
      </c>
      <c r="C10" s="29">
        <f>'06 Bug Tracker'!D10</f>
        <v/>
      </c>
      <c r="D10" s="29">
        <f>'06 Bug Tracker'!J10</f>
        <v/>
      </c>
      <c r="E10" s="29">
        <f>'06 Bug Tracker'!K10</f>
        <v/>
      </c>
      <c r="F10" s="29">
        <f>'06 Bug Tracker'!L10</f>
        <v/>
      </c>
      <c r="G10" s="29">
        <f>'06 Bug Tracker'!N10</f>
        <v/>
      </c>
      <c r="H10" s="29">
        <f>'06 Bug Tracker'!M10</f>
        <v/>
      </c>
      <c r="I10" s="29">
        <f>IF(A10="","",IF(OR(F10="New",F10="Open",F10="In Progress",F10="Fixed",F10="Retest"),"Yes","No"))</f>
        <v/>
      </c>
      <c r="J10" s="29">
        <f>IF(A10="","",IF(F10="Retest","Fixed — Ready for Retest",IF(F10="Fixed","Fixed — Ready for Retest",IF(F10="In Progress","In Progress",IF(OR(F10="New",F10="Open"),"Queued",IF(F10="Closed","Done",IF(F10="Won't Fix","Won't Fix","")))))))</f>
        <v/>
      </c>
      <c r="K10" s="29" t="inlineStr"/>
      <c r="L10" s="29">
        <f>'06 Bug Tracker'!R10</f>
        <v/>
      </c>
      <c r="M10" s="29">
        <f>'06 Bug Tracker'!N10</f>
        <v/>
      </c>
      <c r="N10" s="29" t="inlineStr"/>
      <c r="O10" s="29" t="inlineStr"/>
    </row>
    <row r="11">
      <c r="A11" s="27">
        <f>'06 Bug Tracker'!A11</f>
        <v/>
      </c>
      <c r="B11" s="27">
        <f>'06 Bug Tracker'!B11</f>
        <v/>
      </c>
      <c r="C11" s="27">
        <f>'06 Bug Tracker'!D11</f>
        <v/>
      </c>
      <c r="D11" s="27">
        <f>'06 Bug Tracker'!J11</f>
        <v/>
      </c>
      <c r="E11" s="27">
        <f>'06 Bug Tracker'!K11</f>
        <v/>
      </c>
      <c r="F11" s="27">
        <f>'06 Bug Tracker'!L11</f>
        <v/>
      </c>
      <c r="G11" s="27">
        <f>'06 Bug Tracker'!N11</f>
        <v/>
      </c>
      <c r="H11" s="27">
        <f>'06 Bug Tracker'!M11</f>
        <v/>
      </c>
      <c r="I11" s="27">
        <f>IF(A11="","",IF(OR(F11="New",F11="Open",F11="In Progress",F11="Fixed",F11="Retest"),"Yes","No"))</f>
        <v/>
      </c>
      <c r="J11" s="27">
        <f>IF(A11="","",IF(F11="Retest","Fixed — Ready for Retest",IF(F11="Fixed","Fixed — Ready for Retest",IF(F11="In Progress","In Progress",IF(OR(F11="New",F11="Open"),"Queued",IF(F11="Closed","Done",IF(F11="Won't Fix","Won't Fix","")))))))</f>
        <v/>
      </c>
      <c r="K11" s="27" t="inlineStr"/>
      <c r="L11" s="27">
        <f>'06 Bug Tracker'!R11</f>
        <v/>
      </c>
      <c r="M11" s="27">
        <f>'06 Bug Tracker'!N11</f>
        <v/>
      </c>
      <c r="N11" s="27" t="inlineStr"/>
      <c r="O11" s="27" t="inlineStr"/>
    </row>
    <row r="12">
      <c r="A12" s="29">
        <f>'06 Bug Tracker'!A12</f>
        <v/>
      </c>
      <c r="B12" s="29">
        <f>'06 Bug Tracker'!B12</f>
        <v/>
      </c>
      <c r="C12" s="29">
        <f>'06 Bug Tracker'!D12</f>
        <v/>
      </c>
      <c r="D12" s="29">
        <f>'06 Bug Tracker'!J12</f>
        <v/>
      </c>
      <c r="E12" s="29">
        <f>'06 Bug Tracker'!K12</f>
        <v/>
      </c>
      <c r="F12" s="29">
        <f>'06 Bug Tracker'!L12</f>
        <v/>
      </c>
      <c r="G12" s="29">
        <f>'06 Bug Tracker'!N12</f>
        <v/>
      </c>
      <c r="H12" s="29">
        <f>'06 Bug Tracker'!M12</f>
        <v/>
      </c>
      <c r="I12" s="29">
        <f>IF(A12="","",IF(OR(F12="New",F12="Open",F12="In Progress",F12="Fixed",F12="Retest"),"Yes","No"))</f>
        <v/>
      </c>
      <c r="J12" s="29">
        <f>IF(A12="","",IF(F12="Retest","Fixed — Ready for Retest",IF(F12="Fixed","Fixed — Ready for Retest",IF(F12="In Progress","In Progress",IF(OR(F12="New",F12="Open"),"Queued",IF(F12="Closed","Done",IF(F12="Won't Fix","Won't Fix","")))))))</f>
        <v/>
      </c>
      <c r="K12" s="29" t="inlineStr"/>
      <c r="L12" s="29">
        <f>'06 Bug Tracker'!R12</f>
        <v/>
      </c>
      <c r="M12" s="29">
        <f>'06 Bug Tracker'!N12</f>
        <v/>
      </c>
      <c r="N12" s="29" t="inlineStr"/>
      <c r="O12" s="29" t="inlineStr"/>
    </row>
    <row r="13">
      <c r="A13" s="27">
        <f>'06 Bug Tracker'!A13</f>
        <v/>
      </c>
      <c r="B13" s="27">
        <f>'06 Bug Tracker'!B13</f>
        <v/>
      </c>
      <c r="C13" s="27">
        <f>'06 Bug Tracker'!D13</f>
        <v/>
      </c>
      <c r="D13" s="27">
        <f>'06 Bug Tracker'!J13</f>
        <v/>
      </c>
      <c r="E13" s="27">
        <f>'06 Bug Tracker'!K13</f>
        <v/>
      </c>
      <c r="F13" s="27">
        <f>'06 Bug Tracker'!L13</f>
        <v/>
      </c>
      <c r="G13" s="27">
        <f>'06 Bug Tracker'!N13</f>
        <v/>
      </c>
      <c r="H13" s="27">
        <f>'06 Bug Tracker'!M13</f>
        <v/>
      </c>
      <c r="I13" s="27">
        <f>IF(A13="","",IF(OR(F13="New",F13="Open",F13="In Progress",F13="Fixed",F13="Retest"),"Yes","No"))</f>
        <v/>
      </c>
      <c r="J13" s="27">
        <f>IF(A13="","",IF(F13="Retest","Fixed — Ready for Retest",IF(F13="Fixed","Fixed — Ready for Retest",IF(F13="In Progress","In Progress",IF(OR(F13="New",F13="Open"),"Queued",IF(F13="Closed","Done",IF(F13="Won't Fix","Won't Fix","")))))))</f>
        <v/>
      </c>
      <c r="K13" s="27" t="inlineStr"/>
      <c r="L13" s="27">
        <f>'06 Bug Tracker'!R13</f>
        <v/>
      </c>
      <c r="M13" s="27">
        <f>'06 Bug Tracker'!N13</f>
        <v/>
      </c>
      <c r="N13" s="27" t="inlineStr"/>
      <c r="O13" s="27" t="inlineStr"/>
    </row>
    <row r="14">
      <c r="A14" s="29">
        <f>'06 Bug Tracker'!A14</f>
        <v/>
      </c>
      <c r="B14" s="29">
        <f>'06 Bug Tracker'!B14</f>
        <v/>
      </c>
      <c r="C14" s="29">
        <f>'06 Bug Tracker'!D14</f>
        <v/>
      </c>
      <c r="D14" s="29">
        <f>'06 Bug Tracker'!J14</f>
        <v/>
      </c>
      <c r="E14" s="29">
        <f>'06 Bug Tracker'!K14</f>
        <v/>
      </c>
      <c r="F14" s="29">
        <f>'06 Bug Tracker'!L14</f>
        <v/>
      </c>
      <c r="G14" s="29">
        <f>'06 Bug Tracker'!N14</f>
        <v/>
      </c>
      <c r="H14" s="29">
        <f>'06 Bug Tracker'!M14</f>
        <v/>
      </c>
      <c r="I14" s="29">
        <f>IF(A14="","",IF(OR(F14="New",F14="Open",F14="In Progress",F14="Fixed",F14="Retest"),"Yes","No"))</f>
        <v/>
      </c>
      <c r="J14" s="29">
        <f>IF(A14="","",IF(F14="Retest","Fixed — Ready for Retest",IF(F14="Fixed","Fixed — Ready for Retest",IF(F14="In Progress","In Progress",IF(OR(F14="New",F14="Open"),"Queued",IF(F14="Closed","Done",IF(F14="Won't Fix","Won't Fix","")))))))</f>
        <v/>
      </c>
      <c r="K14" s="29" t="inlineStr"/>
      <c r="L14" s="29">
        <f>'06 Bug Tracker'!R14</f>
        <v/>
      </c>
      <c r="M14" s="29">
        <f>'06 Bug Tracker'!N14</f>
        <v/>
      </c>
      <c r="N14" s="29" t="inlineStr"/>
      <c r="O14" s="29" t="inlineStr"/>
    </row>
    <row r="15">
      <c r="A15" s="27">
        <f>'06 Bug Tracker'!A15</f>
        <v/>
      </c>
      <c r="B15" s="27">
        <f>'06 Bug Tracker'!B15</f>
        <v/>
      </c>
      <c r="C15" s="27">
        <f>'06 Bug Tracker'!D15</f>
        <v/>
      </c>
      <c r="D15" s="27">
        <f>'06 Bug Tracker'!J15</f>
        <v/>
      </c>
      <c r="E15" s="27">
        <f>'06 Bug Tracker'!K15</f>
        <v/>
      </c>
      <c r="F15" s="27">
        <f>'06 Bug Tracker'!L15</f>
        <v/>
      </c>
      <c r="G15" s="27">
        <f>'06 Bug Tracker'!N15</f>
        <v/>
      </c>
      <c r="H15" s="27">
        <f>'06 Bug Tracker'!M15</f>
        <v/>
      </c>
      <c r="I15" s="27">
        <f>IF(A15="","",IF(OR(F15="New",F15="Open",F15="In Progress",F15="Fixed",F15="Retest"),"Yes","No"))</f>
        <v/>
      </c>
      <c r="J15" s="27">
        <f>IF(A15="","",IF(F15="Retest","Fixed — Ready for Retest",IF(F15="Fixed","Fixed — Ready for Retest",IF(F15="In Progress","In Progress",IF(OR(F15="New",F15="Open"),"Queued",IF(F15="Closed","Done",IF(F15="Won't Fix","Won't Fix","")))))))</f>
        <v/>
      </c>
      <c r="K15" s="27" t="inlineStr"/>
      <c r="L15" s="27">
        <f>'06 Bug Tracker'!R15</f>
        <v/>
      </c>
      <c r="M15" s="27">
        <f>'06 Bug Tracker'!N15</f>
        <v/>
      </c>
      <c r="N15" s="27" t="inlineStr"/>
      <c r="O15" s="27" t="inlineStr"/>
    </row>
    <row r="16">
      <c r="A16" s="29">
        <f>'06 Bug Tracker'!A16</f>
        <v/>
      </c>
      <c r="B16" s="29">
        <f>'06 Bug Tracker'!B16</f>
        <v/>
      </c>
      <c r="C16" s="29">
        <f>'06 Bug Tracker'!D16</f>
        <v/>
      </c>
      <c r="D16" s="29">
        <f>'06 Bug Tracker'!J16</f>
        <v/>
      </c>
      <c r="E16" s="29">
        <f>'06 Bug Tracker'!K16</f>
        <v/>
      </c>
      <c r="F16" s="29">
        <f>'06 Bug Tracker'!L16</f>
        <v/>
      </c>
      <c r="G16" s="29">
        <f>'06 Bug Tracker'!N16</f>
        <v/>
      </c>
      <c r="H16" s="29">
        <f>'06 Bug Tracker'!M16</f>
        <v/>
      </c>
      <c r="I16" s="29">
        <f>IF(A16="","",IF(OR(F16="New",F16="Open",F16="In Progress",F16="Fixed",F16="Retest"),"Yes","No"))</f>
        <v/>
      </c>
      <c r="J16" s="29">
        <f>IF(A16="","",IF(F16="Retest","Fixed — Ready for Retest",IF(F16="Fixed","Fixed — Ready for Retest",IF(F16="In Progress","In Progress",IF(OR(F16="New",F16="Open"),"Queued",IF(F16="Closed","Done",IF(F16="Won't Fix","Won't Fix","")))))))</f>
        <v/>
      </c>
      <c r="K16" s="29" t="inlineStr"/>
      <c r="L16" s="29">
        <f>'06 Bug Tracker'!R16</f>
        <v/>
      </c>
      <c r="M16" s="29">
        <f>'06 Bug Tracker'!N16</f>
        <v/>
      </c>
      <c r="N16" s="29" t="inlineStr"/>
      <c r="O16" s="29" t="inlineStr"/>
    </row>
    <row r="17">
      <c r="A17" s="27">
        <f>'06 Bug Tracker'!A17</f>
        <v/>
      </c>
      <c r="B17" s="27">
        <f>'06 Bug Tracker'!B17</f>
        <v/>
      </c>
      <c r="C17" s="27">
        <f>'06 Bug Tracker'!D17</f>
        <v/>
      </c>
      <c r="D17" s="27">
        <f>'06 Bug Tracker'!J17</f>
        <v/>
      </c>
      <c r="E17" s="27">
        <f>'06 Bug Tracker'!K17</f>
        <v/>
      </c>
      <c r="F17" s="27">
        <f>'06 Bug Tracker'!L17</f>
        <v/>
      </c>
      <c r="G17" s="27">
        <f>'06 Bug Tracker'!N17</f>
        <v/>
      </c>
      <c r="H17" s="27">
        <f>'06 Bug Tracker'!M17</f>
        <v/>
      </c>
      <c r="I17" s="27">
        <f>IF(A17="","",IF(OR(F17="New",F17="Open",F17="In Progress",F17="Fixed",F17="Retest"),"Yes","No"))</f>
        <v/>
      </c>
      <c r="J17" s="27">
        <f>IF(A17="","",IF(F17="Retest","Fixed — Ready for Retest",IF(F17="Fixed","Fixed — Ready for Retest",IF(F17="In Progress","In Progress",IF(OR(F17="New",F17="Open"),"Queued",IF(F17="Closed","Done",IF(F17="Won't Fix","Won't Fix","")))))))</f>
        <v/>
      </c>
      <c r="K17" s="27" t="inlineStr"/>
      <c r="L17" s="27">
        <f>'06 Bug Tracker'!R17</f>
        <v/>
      </c>
      <c r="M17" s="27">
        <f>'06 Bug Tracker'!N17</f>
        <v/>
      </c>
      <c r="N17" s="27" t="inlineStr"/>
      <c r="O17" s="27" t="inlineStr"/>
    </row>
    <row r="18">
      <c r="A18" s="29">
        <f>'06 Bug Tracker'!A18</f>
        <v/>
      </c>
      <c r="B18" s="29">
        <f>'06 Bug Tracker'!B18</f>
        <v/>
      </c>
      <c r="C18" s="29">
        <f>'06 Bug Tracker'!D18</f>
        <v/>
      </c>
      <c r="D18" s="29">
        <f>'06 Bug Tracker'!J18</f>
        <v/>
      </c>
      <c r="E18" s="29">
        <f>'06 Bug Tracker'!K18</f>
        <v/>
      </c>
      <c r="F18" s="29">
        <f>'06 Bug Tracker'!L18</f>
        <v/>
      </c>
      <c r="G18" s="29">
        <f>'06 Bug Tracker'!N18</f>
        <v/>
      </c>
      <c r="H18" s="29">
        <f>'06 Bug Tracker'!M18</f>
        <v/>
      </c>
      <c r="I18" s="29">
        <f>IF(A18="","",IF(OR(F18="New",F18="Open",F18="In Progress",F18="Fixed",F18="Retest"),"Yes","No"))</f>
        <v/>
      </c>
      <c r="J18" s="29">
        <f>IF(A18="","",IF(F18="Retest","Fixed — Ready for Retest",IF(F18="Fixed","Fixed — Ready for Retest",IF(F18="In Progress","In Progress",IF(OR(F18="New",F18="Open"),"Queued",IF(F18="Closed","Done",IF(F18="Won't Fix","Won't Fix","")))))))</f>
        <v/>
      </c>
      <c r="K18" s="29" t="inlineStr"/>
      <c r="L18" s="29">
        <f>'06 Bug Tracker'!R18</f>
        <v/>
      </c>
      <c r="M18" s="29">
        <f>'06 Bug Tracker'!N18</f>
        <v/>
      </c>
      <c r="N18" s="29" t="inlineStr"/>
      <c r="O18" s="29" t="inlineStr"/>
    </row>
    <row r="19">
      <c r="A19" s="27">
        <f>'06 Bug Tracker'!A19</f>
        <v/>
      </c>
      <c r="B19" s="27">
        <f>'06 Bug Tracker'!B19</f>
        <v/>
      </c>
      <c r="C19" s="27">
        <f>'06 Bug Tracker'!D19</f>
        <v/>
      </c>
      <c r="D19" s="27">
        <f>'06 Bug Tracker'!J19</f>
        <v/>
      </c>
      <c r="E19" s="27">
        <f>'06 Bug Tracker'!K19</f>
        <v/>
      </c>
      <c r="F19" s="27">
        <f>'06 Bug Tracker'!L19</f>
        <v/>
      </c>
      <c r="G19" s="27">
        <f>'06 Bug Tracker'!N19</f>
        <v/>
      </c>
      <c r="H19" s="27">
        <f>'06 Bug Tracker'!M19</f>
        <v/>
      </c>
      <c r="I19" s="27">
        <f>IF(A19="","",IF(OR(F19="New",F19="Open",F19="In Progress",F19="Fixed",F19="Retest"),"Yes","No"))</f>
        <v/>
      </c>
      <c r="J19" s="27">
        <f>IF(A19="","",IF(F19="Retest","Fixed — Ready for Retest",IF(F19="Fixed","Fixed — Ready for Retest",IF(F19="In Progress","In Progress",IF(OR(F19="New",F19="Open"),"Queued",IF(F19="Closed","Done",IF(F19="Won't Fix","Won't Fix","")))))))</f>
        <v/>
      </c>
      <c r="K19" s="27" t="inlineStr"/>
      <c r="L19" s="27">
        <f>'06 Bug Tracker'!R19</f>
        <v/>
      </c>
      <c r="M19" s="27">
        <f>'06 Bug Tracker'!N19</f>
        <v/>
      </c>
      <c r="N19" s="27" t="inlineStr"/>
      <c r="O19" s="27" t="inlineStr"/>
    </row>
    <row r="20">
      <c r="A20" s="29">
        <f>'06 Bug Tracker'!A20</f>
        <v/>
      </c>
      <c r="B20" s="29">
        <f>'06 Bug Tracker'!B20</f>
        <v/>
      </c>
      <c r="C20" s="29">
        <f>'06 Bug Tracker'!D20</f>
        <v/>
      </c>
      <c r="D20" s="29">
        <f>'06 Bug Tracker'!J20</f>
        <v/>
      </c>
      <c r="E20" s="29">
        <f>'06 Bug Tracker'!K20</f>
        <v/>
      </c>
      <c r="F20" s="29">
        <f>'06 Bug Tracker'!L20</f>
        <v/>
      </c>
      <c r="G20" s="29">
        <f>'06 Bug Tracker'!N20</f>
        <v/>
      </c>
      <c r="H20" s="29">
        <f>'06 Bug Tracker'!M20</f>
        <v/>
      </c>
      <c r="I20" s="29">
        <f>IF(A20="","",IF(OR(F20="New",F20="Open",F20="In Progress",F20="Fixed",F20="Retest"),"Yes","No"))</f>
        <v/>
      </c>
      <c r="J20" s="29">
        <f>IF(A20="","",IF(F20="Retest","Fixed — Ready for Retest",IF(F20="Fixed","Fixed — Ready for Retest",IF(F20="In Progress","In Progress",IF(OR(F20="New",F20="Open"),"Queued",IF(F20="Closed","Done",IF(F20="Won't Fix","Won't Fix","")))))))</f>
        <v/>
      </c>
      <c r="K20" s="29" t="inlineStr"/>
      <c r="L20" s="29">
        <f>'06 Bug Tracker'!R20</f>
        <v/>
      </c>
      <c r="M20" s="29">
        <f>'06 Bug Tracker'!N20</f>
        <v/>
      </c>
      <c r="N20" s="29" t="inlineStr"/>
      <c r="O20" s="29" t="inlineStr"/>
    </row>
    <row r="21">
      <c r="A21" s="27">
        <f>'06 Bug Tracker'!A21</f>
        <v/>
      </c>
      <c r="B21" s="27">
        <f>'06 Bug Tracker'!B21</f>
        <v/>
      </c>
      <c r="C21" s="27">
        <f>'06 Bug Tracker'!D21</f>
        <v/>
      </c>
      <c r="D21" s="27">
        <f>'06 Bug Tracker'!J21</f>
        <v/>
      </c>
      <c r="E21" s="27">
        <f>'06 Bug Tracker'!K21</f>
        <v/>
      </c>
      <c r="F21" s="27">
        <f>'06 Bug Tracker'!L21</f>
        <v/>
      </c>
      <c r="G21" s="27">
        <f>'06 Bug Tracker'!N21</f>
        <v/>
      </c>
      <c r="H21" s="27">
        <f>'06 Bug Tracker'!M21</f>
        <v/>
      </c>
      <c r="I21" s="27">
        <f>IF(A21="","",IF(OR(F21="New",F21="Open",F21="In Progress",F21="Fixed",F21="Retest"),"Yes","No"))</f>
        <v/>
      </c>
      <c r="J21" s="27">
        <f>IF(A21="","",IF(F21="Retest","Fixed — Ready for Retest",IF(F21="Fixed","Fixed — Ready for Retest",IF(F21="In Progress","In Progress",IF(OR(F21="New",F21="Open"),"Queued",IF(F21="Closed","Done",IF(F21="Won't Fix","Won't Fix","")))))))</f>
        <v/>
      </c>
      <c r="K21" s="27" t="inlineStr"/>
      <c r="L21" s="27">
        <f>'06 Bug Tracker'!R21</f>
        <v/>
      </c>
      <c r="M21" s="27">
        <f>'06 Bug Tracker'!N21</f>
        <v/>
      </c>
      <c r="N21" s="27" t="inlineStr"/>
      <c r="O21" s="27" t="inlineStr"/>
    </row>
    <row r="22">
      <c r="A22" s="29">
        <f>'06 Bug Tracker'!A22</f>
        <v/>
      </c>
      <c r="B22" s="29">
        <f>'06 Bug Tracker'!B22</f>
        <v/>
      </c>
      <c r="C22" s="29">
        <f>'06 Bug Tracker'!D22</f>
        <v/>
      </c>
      <c r="D22" s="29">
        <f>'06 Bug Tracker'!J22</f>
        <v/>
      </c>
      <c r="E22" s="29">
        <f>'06 Bug Tracker'!K22</f>
        <v/>
      </c>
      <c r="F22" s="29">
        <f>'06 Bug Tracker'!L22</f>
        <v/>
      </c>
      <c r="G22" s="29">
        <f>'06 Bug Tracker'!N22</f>
        <v/>
      </c>
      <c r="H22" s="29">
        <f>'06 Bug Tracker'!M22</f>
        <v/>
      </c>
      <c r="I22" s="29">
        <f>IF(A22="","",IF(OR(F22="New",F22="Open",F22="In Progress",F22="Fixed",F22="Retest"),"Yes","No"))</f>
        <v/>
      </c>
      <c r="J22" s="29">
        <f>IF(A22="","",IF(F22="Retest","Fixed — Ready for Retest",IF(F22="Fixed","Fixed — Ready for Retest",IF(F22="In Progress","In Progress",IF(OR(F22="New",F22="Open"),"Queued",IF(F22="Closed","Done",IF(F22="Won't Fix","Won't Fix","")))))))</f>
        <v/>
      </c>
      <c r="K22" s="29" t="inlineStr"/>
      <c r="L22" s="29">
        <f>'06 Bug Tracker'!R22</f>
        <v/>
      </c>
      <c r="M22" s="29">
        <f>'06 Bug Tracker'!N22</f>
        <v/>
      </c>
      <c r="N22" s="29" t="inlineStr"/>
      <c r="O22" s="29" t="inlineStr"/>
    </row>
    <row r="23">
      <c r="A23" s="27">
        <f>'06 Bug Tracker'!A23</f>
        <v/>
      </c>
      <c r="B23" s="27">
        <f>'06 Bug Tracker'!B23</f>
        <v/>
      </c>
      <c r="C23" s="27">
        <f>'06 Bug Tracker'!D23</f>
        <v/>
      </c>
      <c r="D23" s="27">
        <f>'06 Bug Tracker'!J23</f>
        <v/>
      </c>
      <c r="E23" s="27">
        <f>'06 Bug Tracker'!K23</f>
        <v/>
      </c>
      <c r="F23" s="27">
        <f>'06 Bug Tracker'!L23</f>
        <v/>
      </c>
      <c r="G23" s="27">
        <f>'06 Bug Tracker'!N23</f>
        <v/>
      </c>
      <c r="H23" s="27">
        <f>'06 Bug Tracker'!M23</f>
        <v/>
      </c>
      <c r="I23" s="27">
        <f>IF(A23="","",IF(OR(F23="New",F23="Open",F23="In Progress",F23="Fixed",F23="Retest"),"Yes","No"))</f>
        <v/>
      </c>
      <c r="J23" s="27">
        <f>IF(A23="","",IF(F23="Retest","Fixed — Ready for Retest",IF(F23="Fixed","Fixed — Ready for Retest",IF(F23="In Progress","In Progress",IF(OR(F23="New",F23="Open"),"Queued",IF(F23="Closed","Done",IF(F23="Won't Fix","Won't Fix","")))))))</f>
        <v/>
      </c>
      <c r="K23" s="27" t="inlineStr"/>
      <c r="L23" s="27">
        <f>'06 Bug Tracker'!R23</f>
        <v/>
      </c>
      <c r="M23" s="27">
        <f>'06 Bug Tracker'!N23</f>
        <v/>
      </c>
      <c r="N23" s="27" t="inlineStr"/>
      <c r="O23" s="27" t="inlineStr"/>
    </row>
    <row r="24">
      <c r="A24" s="29">
        <f>'06 Bug Tracker'!A24</f>
        <v/>
      </c>
      <c r="B24" s="29">
        <f>'06 Bug Tracker'!B24</f>
        <v/>
      </c>
      <c r="C24" s="29">
        <f>'06 Bug Tracker'!D24</f>
        <v/>
      </c>
      <c r="D24" s="29">
        <f>'06 Bug Tracker'!J24</f>
        <v/>
      </c>
      <c r="E24" s="29">
        <f>'06 Bug Tracker'!K24</f>
        <v/>
      </c>
      <c r="F24" s="29">
        <f>'06 Bug Tracker'!L24</f>
        <v/>
      </c>
      <c r="G24" s="29">
        <f>'06 Bug Tracker'!N24</f>
        <v/>
      </c>
      <c r="H24" s="29">
        <f>'06 Bug Tracker'!M24</f>
        <v/>
      </c>
      <c r="I24" s="29">
        <f>IF(A24="","",IF(OR(F24="New",F24="Open",F24="In Progress",F24="Fixed",F24="Retest"),"Yes","No"))</f>
        <v/>
      </c>
      <c r="J24" s="29">
        <f>IF(A24="","",IF(F24="Retest","Fixed — Ready for Retest",IF(F24="Fixed","Fixed — Ready for Retest",IF(F24="In Progress","In Progress",IF(OR(F24="New",F24="Open"),"Queued",IF(F24="Closed","Done",IF(F24="Won't Fix","Won't Fix","")))))))</f>
        <v/>
      </c>
      <c r="K24" s="29" t="inlineStr"/>
      <c r="L24" s="29">
        <f>'06 Bug Tracker'!R24</f>
        <v/>
      </c>
      <c r="M24" s="29">
        <f>'06 Bug Tracker'!N24</f>
        <v/>
      </c>
      <c r="N24" s="29" t="inlineStr"/>
      <c r="O24" s="29" t="inlineStr"/>
    </row>
    <row r="25">
      <c r="A25" s="27">
        <f>'06 Bug Tracker'!A25</f>
        <v/>
      </c>
      <c r="B25" s="27">
        <f>'06 Bug Tracker'!B25</f>
        <v/>
      </c>
      <c r="C25" s="27">
        <f>'06 Bug Tracker'!D25</f>
        <v/>
      </c>
      <c r="D25" s="27">
        <f>'06 Bug Tracker'!J25</f>
        <v/>
      </c>
      <c r="E25" s="27">
        <f>'06 Bug Tracker'!K25</f>
        <v/>
      </c>
      <c r="F25" s="27">
        <f>'06 Bug Tracker'!L25</f>
        <v/>
      </c>
      <c r="G25" s="27">
        <f>'06 Bug Tracker'!N25</f>
        <v/>
      </c>
      <c r="H25" s="27">
        <f>'06 Bug Tracker'!M25</f>
        <v/>
      </c>
      <c r="I25" s="27">
        <f>IF(A25="","",IF(OR(F25="New",F25="Open",F25="In Progress",F25="Fixed",F25="Retest"),"Yes","No"))</f>
        <v/>
      </c>
      <c r="J25" s="27">
        <f>IF(A25="","",IF(F25="Retest","Fixed — Ready for Retest",IF(F25="Fixed","Fixed — Ready for Retest",IF(F25="In Progress","In Progress",IF(OR(F25="New",F25="Open"),"Queued",IF(F25="Closed","Done",IF(F25="Won't Fix","Won't Fix","")))))))</f>
        <v/>
      </c>
      <c r="K25" s="27" t="inlineStr"/>
      <c r="L25" s="27">
        <f>'06 Bug Tracker'!R25</f>
        <v/>
      </c>
      <c r="M25" s="27">
        <f>'06 Bug Tracker'!N25</f>
        <v/>
      </c>
      <c r="N25" s="27" t="inlineStr"/>
      <c r="O25" s="27" t="inlineStr"/>
    </row>
    <row r="26">
      <c r="A26" s="29">
        <f>'06 Bug Tracker'!A26</f>
        <v/>
      </c>
      <c r="B26" s="29">
        <f>'06 Bug Tracker'!B26</f>
        <v/>
      </c>
      <c r="C26" s="29">
        <f>'06 Bug Tracker'!D26</f>
        <v/>
      </c>
      <c r="D26" s="29">
        <f>'06 Bug Tracker'!J26</f>
        <v/>
      </c>
      <c r="E26" s="29">
        <f>'06 Bug Tracker'!K26</f>
        <v/>
      </c>
      <c r="F26" s="29">
        <f>'06 Bug Tracker'!L26</f>
        <v/>
      </c>
      <c r="G26" s="29">
        <f>'06 Bug Tracker'!N26</f>
        <v/>
      </c>
      <c r="H26" s="29">
        <f>'06 Bug Tracker'!M26</f>
        <v/>
      </c>
      <c r="I26" s="29">
        <f>IF(A26="","",IF(OR(F26="New",F26="Open",F26="In Progress",F26="Fixed",F26="Retest"),"Yes","No"))</f>
        <v/>
      </c>
      <c r="J26" s="29">
        <f>IF(A26="","",IF(F26="Retest","Fixed — Ready for Retest",IF(F26="Fixed","Fixed — Ready for Retest",IF(F26="In Progress","In Progress",IF(OR(F26="New",F26="Open"),"Queued",IF(F26="Closed","Done",IF(F26="Won't Fix","Won't Fix","")))))))</f>
        <v/>
      </c>
      <c r="K26" s="29" t="inlineStr"/>
      <c r="L26" s="29">
        <f>'06 Bug Tracker'!R26</f>
        <v/>
      </c>
      <c r="M26" s="29">
        <f>'06 Bug Tracker'!N26</f>
        <v/>
      </c>
      <c r="N26" s="29" t="inlineStr"/>
      <c r="O26" s="29" t="inlineStr"/>
    </row>
    <row r="27">
      <c r="A27" s="27">
        <f>'06 Bug Tracker'!A27</f>
        <v/>
      </c>
      <c r="B27" s="27">
        <f>'06 Bug Tracker'!B27</f>
        <v/>
      </c>
      <c r="C27" s="27">
        <f>'06 Bug Tracker'!D27</f>
        <v/>
      </c>
      <c r="D27" s="27">
        <f>'06 Bug Tracker'!J27</f>
        <v/>
      </c>
      <c r="E27" s="27">
        <f>'06 Bug Tracker'!K27</f>
        <v/>
      </c>
      <c r="F27" s="27">
        <f>'06 Bug Tracker'!L27</f>
        <v/>
      </c>
      <c r="G27" s="27">
        <f>'06 Bug Tracker'!N27</f>
        <v/>
      </c>
      <c r="H27" s="27">
        <f>'06 Bug Tracker'!M27</f>
        <v/>
      </c>
      <c r="I27" s="27">
        <f>IF(A27="","",IF(OR(F27="New",F27="Open",F27="In Progress",F27="Fixed",F27="Retest"),"Yes","No"))</f>
        <v/>
      </c>
      <c r="J27" s="27">
        <f>IF(A27="","",IF(F27="Retest","Fixed — Ready for Retest",IF(F27="Fixed","Fixed — Ready for Retest",IF(F27="In Progress","In Progress",IF(OR(F27="New",F27="Open"),"Queued",IF(F27="Closed","Done",IF(F27="Won't Fix","Won't Fix","")))))))</f>
        <v/>
      </c>
      <c r="K27" s="27" t="inlineStr"/>
      <c r="L27" s="27">
        <f>'06 Bug Tracker'!R27</f>
        <v/>
      </c>
      <c r="M27" s="27">
        <f>'06 Bug Tracker'!N27</f>
        <v/>
      </c>
      <c r="N27" s="27" t="inlineStr"/>
      <c r="O27" s="27" t="inlineStr"/>
    </row>
    <row r="28">
      <c r="A28" s="29">
        <f>'06 Bug Tracker'!A28</f>
        <v/>
      </c>
      <c r="B28" s="29">
        <f>'06 Bug Tracker'!B28</f>
        <v/>
      </c>
      <c r="C28" s="29">
        <f>'06 Bug Tracker'!D28</f>
        <v/>
      </c>
      <c r="D28" s="29">
        <f>'06 Bug Tracker'!J28</f>
        <v/>
      </c>
      <c r="E28" s="29">
        <f>'06 Bug Tracker'!K28</f>
        <v/>
      </c>
      <c r="F28" s="29">
        <f>'06 Bug Tracker'!L28</f>
        <v/>
      </c>
      <c r="G28" s="29">
        <f>'06 Bug Tracker'!N28</f>
        <v/>
      </c>
      <c r="H28" s="29">
        <f>'06 Bug Tracker'!M28</f>
        <v/>
      </c>
      <c r="I28" s="29">
        <f>IF(A28="","",IF(OR(F28="New",F28="Open",F28="In Progress",F28="Fixed",F28="Retest"),"Yes","No"))</f>
        <v/>
      </c>
      <c r="J28" s="29">
        <f>IF(A28="","",IF(F28="Retest","Fixed — Ready for Retest",IF(F28="Fixed","Fixed — Ready for Retest",IF(F28="In Progress","In Progress",IF(OR(F28="New",F28="Open"),"Queued",IF(F28="Closed","Done",IF(F28="Won't Fix","Won't Fix","")))))))</f>
        <v/>
      </c>
      <c r="K28" s="29" t="inlineStr"/>
      <c r="L28" s="29">
        <f>'06 Bug Tracker'!R28</f>
        <v/>
      </c>
      <c r="M28" s="29">
        <f>'06 Bug Tracker'!N28</f>
        <v/>
      </c>
      <c r="N28" s="29" t="inlineStr"/>
      <c r="O28" s="29" t="inlineStr"/>
    </row>
    <row r="29">
      <c r="A29" s="27">
        <f>'06 Bug Tracker'!A29</f>
        <v/>
      </c>
      <c r="B29" s="27">
        <f>'06 Bug Tracker'!B29</f>
        <v/>
      </c>
      <c r="C29" s="27">
        <f>'06 Bug Tracker'!D29</f>
        <v/>
      </c>
      <c r="D29" s="27">
        <f>'06 Bug Tracker'!J29</f>
        <v/>
      </c>
      <c r="E29" s="27">
        <f>'06 Bug Tracker'!K29</f>
        <v/>
      </c>
      <c r="F29" s="27">
        <f>'06 Bug Tracker'!L29</f>
        <v/>
      </c>
      <c r="G29" s="27">
        <f>'06 Bug Tracker'!N29</f>
        <v/>
      </c>
      <c r="H29" s="27">
        <f>'06 Bug Tracker'!M29</f>
        <v/>
      </c>
      <c r="I29" s="27">
        <f>IF(A29="","",IF(OR(F29="New",F29="Open",F29="In Progress",F29="Fixed",F29="Retest"),"Yes","No"))</f>
        <v/>
      </c>
      <c r="J29" s="27">
        <f>IF(A29="","",IF(F29="Retest","Fixed — Ready for Retest",IF(F29="Fixed","Fixed — Ready for Retest",IF(F29="In Progress","In Progress",IF(OR(F29="New",F29="Open"),"Queued",IF(F29="Closed","Done",IF(F29="Won't Fix","Won't Fix","")))))))</f>
        <v/>
      </c>
      <c r="K29" s="27" t="inlineStr"/>
      <c r="L29" s="27">
        <f>'06 Bug Tracker'!R29</f>
        <v/>
      </c>
      <c r="M29" s="27">
        <f>'06 Bug Tracker'!N29</f>
        <v/>
      </c>
      <c r="N29" s="27" t="inlineStr"/>
      <c r="O29" s="27" t="inlineStr"/>
    </row>
    <row r="30">
      <c r="A30" s="29">
        <f>'06 Bug Tracker'!A30</f>
        <v/>
      </c>
      <c r="B30" s="29">
        <f>'06 Bug Tracker'!B30</f>
        <v/>
      </c>
      <c r="C30" s="29">
        <f>'06 Bug Tracker'!D30</f>
        <v/>
      </c>
      <c r="D30" s="29">
        <f>'06 Bug Tracker'!J30</f>
        <v/>
      </c>
      <c r="E30" s="29">
        <f>'06 Bug Tracker'!K30</f>
        <v/>
      </c>
      <c r="F30" s="29">
        <f>'06 Bug Tracker'!L30</f>
        <v/>
      </c>
      <c r="G30" s="29">
        <f>'06 Bug Tracker'!N30</f>
        <v/>
      </c>
      <c r="H30" s="29">
        <f>'06 Bug Tracker'!M30</f>
        <v/>
      </c>
      <c r="I30" s="29">
        <f>IF(A30="","",IF(OR(F30="New",F30="Open",F30="In Progress",F30="Fixed",F30="Retest"),"Yes","No"))</f>
        <v/>
      </c>
      <c r="J30" s="29">
        <f>IF(A30="","",IF(F30="Retest","Fixed — Ready for Retest",IF(F30="Fixed","Fixed — Ready for Retest",IF(F30="In Progress","In Progress",IF(OR(F30="New",F30="Open"),"Queued",IF(F30="Closed","Done",IF(F30="Won't Fix","Won't Fix","")))))))</f>
        <v/>
      </c>
      <c r="K30" s="29" t="inlineStr"/>
      <c r="L30" s="29">
        <f>'06 Bug Tracker'!R30</f>
        <v/>
      </c>
      <c r="M30" s="29">
        <f>'06 Bug Tracker'!N30</f>
        <v/>
      </c>
      <c r="N30" s="29" t="inlineStr"/>
      <c r="O30" s="29" t="inlineStr"/>
    </row>
    <row r="31">
      <c r="A31" s="27">
        <f>'06 Bug Tracker'!A31</f>
        <v/>
      </c>
      <c r="B31" s="27">
        <f>'06 Bug Tracker'!B31</f>
        <v/>
      </c>
      <c r="C31" s="27">
        <f>'06 Bug Tracker'!D31</f>
        <v/>
      </c>
      <c r="D31" s="27">
        <f>'06 Bug Tracker'!J31</f>
        <v/>
      </c>
      <c r="E31" s="27">
        <f>'06 Bug Tracker'!K31</f>
        <v/>
      </c>
      <c r="F31" s="27">
        <f>'06 Bug Tracker'!L31</f>
        <v/>
      </c>
      <c r="G31" s="27">
        <f>'06 Bug Tracker'!N31</f>
        <v/>
      </c>
      <c r="H31" s="27">
        <f>'06 Bug Tracker'!M31</f>
        <v/>
      </c>
      <c r="I31" s="27">
        <f>IF(A31="","",IF(OR(F31="New",F31="Open",F31="In Progress",F31="Fixed",F31="Retest"),"Yes","No"))</f>
        <v/>
      </c>
      <c r="J31" s="27">
        <f>IF(A31="","",IF(F31="Retest","Fixed — Ready for Retest",IF(F31="Fixed","Fixed — Ready for Retest",IF(F31="In Progress","In Progress",IF(OR(F31="New",F31="Open"),"Queued",IF(F31="Closed","Done",IF(F31="Won't Fix","Won't Fix","")))))))</f>
        <v/>
      </c>
      <c r="K31" s="27" t="inlineStr"/>
      <c r="L31" s="27">
        <f>'06 Bug Tracker'!R31</f>
        <v/>
      </c>
      <c r="M31" s="27">
        <f>'06 Bug Tracker'!N31</f>
        <v/>
      </c>
      <c r="N31" s="27" t="inlineStr"/>
      <c r="O31" s="27" t="inlineStr"/>
    </row>
    <row r="32">
      <c r="A32" s="29">
        <f>'06 Bug Tracker'!A32</f>
        <v/>
      </c>
      <c r="B32" s="29">
        <f>'06 Bug Tracker'!B32</f>
        <v/>
      </c>
      <c r="C32" s="29">
        <f>'06 Bug Tracker'!D32</f>
        <v/>
      </c>
      <c r="D32" s="29">
        <f>'06 Bug Tracker'!J32</f>
        <v/>
      </c>
      <c r="E32" s="29">
        <f>'06 Bug Tracker'!K32</f>
        <v/>
      </c>
      <c r="F32" s="29">
        <f>'06 Bug Tracker'!L32</f>
        <v/>
      </c>
      <c r="G32" s="29">
        <f>'06 Bug Tracker'!N32</f>
        <v/>
      </c>
      <c r="H32" s="29">
        <f>'06 Bug Tracker'!M32</f>
        <v/>
      </c>
      <c r="I32" s="29">
        <f>IF(A32="","",IF(OR(F32="New",F32="Open",F32="In Progress",F32="Fixed",F32="Retest"),"Yes","No"))</f>
        <v/>
      </c>
      <c r="J32" s="29">
        <f>IF(A32="","",IF(F32="Retest","Fixed — Ready for Retest",IF(F32="Fixed","Fixed — Ready for Retest",IF(F32="In Progress","In Progress",IF(OR(F32="New",F32="Open"),"Queued",IF(F32="Closed","Done",IF(F32="Won't Fix","Won't Fix","")))))))</f>
        <v/>
      </c>
      <c r="K32" s="29" t="inlineStr"/>
      <c r="L32" s="29">
        <f>'06 Bug Tracker'!R32</f>
        <v/>
      </c>
      <c r="M32" s="29">
        <f>'06 Bug Tracker'!N32</f>
        <v/>
      </c>
      <c r="N32" s="29" t="inlineStr"/>
      <c r="O32" s="29" t="inlineStr"/>
    </row>
    <row r="33">
      <c r="A33" s="27">
        <f>'06 Bug Tracker'!A33</f>
        <v/>
      </c>
      <c r="B33" s="27">
        <f>'06 Bug Tracker'!B33</f>
        <v/>
      </c>
      <c r="C33" s="27">
        <f>'06 Bug Tracker'!D33</f>
        <v/>
      </c>
      <c r="D33" s="27">
        <f>'06 Bug Tracker'!J33</f>
        <v/>
      </c>
      <c r="E33" s="27">
        <f>'06 Bug Tracker'!K33</f>
        <v/>
      </c>
      <c r="F33" s="27">
        <f>'06 Bug Tracker'!L33</f>
        <v/>
      </c>
      <c r="G33" s="27">
        <f>'06 Bug Tracker'!N33</f>
        <v/>
      </c>
      <c r="H33" s="27">
        <f>'06 Bug Tracker'!M33</f>
        <v/>
      </c>
      <c r="I33" s="27">
        <f>IF(A33="","",IF(OR(F33="New",F33="Open",F33="In Progress",F33="Fixed",F33="Retest"),"Yes","No"))</f>
        <v/>
      </c>
      <c r="J33" s="27">
        <f>IF(A33="","",IF(F33="Retest","Fixed — Ready for Retest",IF(F33="Fixed","Fixed — Ready for Retest",IF(F33="In Progress","In Progress",IF(OR(F33="New",F33="Open"),"Queued",IF(F33="Closed","Done",IF(F33="Won't Fix","Won't Fix","")))))))</f>
        <v/>
      </c>
      <c r="K33" s="27" t="inlineStr"/>
      <c r="L33" s="27">
        <f>'06 Bug Tracker'!R33</f>
        <v/>
      </c>
      <c r="M33" s="27">
        <f>'06 Bug Tracker'!N33</f>
        <v/>
      </c>
      <c r="N33" s="27" t="inlineStr"/>
      <c r="O33" s="27" t="inlineStr"/>
    </row>
    <row r="34">
      <c r="A34" s="29">
        <f>'06 Bug Tracker'!A34</f>
        <v/>
      </c>
      <c r="B34" s="29">
        <f>'06 Bug Tracker'!B34</f>
        <v/>
      </c>
      <c r="C34" s="29">
        <f>'06 Bug Tracker'!D34</f>
        <v/>
      </c>
      <c r="D34" s="29">
        <f>'06 Bug Tracker'!J34</f>
        <v/>
      </c>
      <c r="E34" s="29">
        <f>'06 Bug Tracker'!K34</f>
        <v/>
      </c>
      <c r="F34" s="29">
        <f>'06 Bug Tracker'!L34</f>
        <v/>
      </c>
      <c r="G34" s="29">
        <f>'06 Bug Tracker'!N34</f>
        <v/>
      </c>
      <c r="H34" s="29">
        <f>'06 Bug Tracker'!M34</f>
        <v/>
      </c>
      <c r="I34" s="29">
        <f>IF(A34="","",IF(OR(F34="New",F34="Open",F34="In Progress",F34="Fixed",F34="Retest"),"Yes","No"))</f>
        <v/>
      </c>
      <c r="J34" s="29">
        <f>IF(A34="","",IF(F34="Retest","Fixed — Ready for Retest",IF(F34="Fixed","Fixed — Ready for Retest",IF(F34="In Progress","In Progress",IF(OR(F34="New",F34="Open"),"Queued",IF(F34="Closed","Done",IF(F34="Won't Fix","Won't Fix","")))))))</f>
        <v/>
      </c>
      <c r="K34" s="29" t="inlineStr"/>
      <c r="L34" s="29">
        <f>'06 Bug Tracker'!R34</f>
        <v/>
      </c>
      <c r="M34" s="29">
        <f>'06 Bug Tracker'!N34</f>
        <v/>
      </c>
      <c r="N34" s="29" t="inlineStr"/>
      <c r="O34" s="29" t="inlineStr"/>
    </row>
    <row r="35">
      <c r="A35" s="27">
        <f>'06 Bug Tracker'!A35</f>
        <v/>
      </c>
      <c r="B35" s="27">
        <f>'06 Bug Tracker'!B35</f>
        <v/>
      </c>
      <c r="C35" s="27">
        <f>'06 Bug Tracker'!D35</f>
        <v/>
      </c>
      <c r="D35" s="27">
        <f>'06 Bug Tracker'!J35</f>
        <v/>
      </c>
      <c r="E35" s="27">
        <f>'06 Bug Tracker'!K35</f>
        <v/>
      </c>
      <c r="F35" s="27">
        <f>'06 Bug Tracker'!L35</f>
        <v/>
      </c>
      <c r="G35" s="27">
        <f>'06 Bug Tracker'!N35</f>
        <v/>
      </c>
      <c r="H35" s="27">
        <f>'06 Bug Tracker'!M35</f>
        <v/>
      </c>
      <c r="I35" s="27">
        <f>IF(A35="","",IF(OR(F35="New",F35="Open",F35="In Progress",F35="Fixed",F35="Retest"),"Yes","No"))</f>
        <v/>
      </c>
      <c r="J35" s="27">
        <f>IF(A35="","",IF(F35="Retest","Fixed — Ready for Retest",IF(F35="Fixed","Fixed — Ready for Retest",IF(F35="In Progress","In Progress",IF(OR(F35="New",F35="Open"),"Queued",IF(F35="Closed","Done",IF(F35="Won't Fix","Won't Fix","")))))))</f>
        <v/>
      </c>
      <c r="K35" s="27" t="inlineStr"/>
      <c r="L35" s="27">
        <f>'06 Bug Tracker'!R35</f>
        <v/>
      </c>
      <c r="M35" s="27">
        <f>'06 Bug Tracker'!N35</f>
        <v/>
      </c>
      <c r="N35" s="27" t="inlineStr"/>
      <c r="O35" s="27" t="inlineStr"/>
    </row>
    <row r="36">
      <c r="A36" s="29">
        <f>'06 Bug Tracker'!A36</f>
        <v/>
      </c>
      <c r="B36" s="29">
        <f>'06 Bug Tracker'!B36</f>
        <v/>
      </c>
      <c r="C36" s="29">
        <f>'06 Bug Tracker'!D36</f>
        <v/>
      </c>
      <c r="D36" s="29">
        <f>'06 Bug Tracker'!J36</f>
        <v/>
      </c>
      <c r="E36" s="29">
        <f>'06 Bug Tracker'!K36</f>
        <v/>
      </c>
      <c r="F36" s="29">
        <f>'06 Bug Tracker'!L36</f>
        <v/>
      </c>
      <c r="G36" s="29">
        <f>'06 Bug Tracker'!N36</f>
        <v/>
      </c>
      <c r="H36" s="29">
        <f>'06 Bug Tracker'!M36</f>
        <v/>
      </c>
      <c r="I36" s="29">
        <f>IF(A36="","",IF(OR(F36="New",F36="Open",F36="In Progress",F36="Fixed",F36="Retest"),"Yes","No"))</f>
        <v/>
      </c>
      <c r="J36" s="29">
        <f>IF(A36="","",IF(F36="Retest","Fixed — Ready for Retest",IF(F36="Fixed","Fixed — Ready for Retest",IF(F36="In Progress","In Progress",IF(OR(F36="New",F36="Open"),"Queued",IF(F36="Closed","Done",IF(F36="Won't Fix","Won't Fix","")))))))</f>
        <v/>
      </c>
      <c r="K36" s="29" t="inlineStr"/>
      <c r="L36" s="29">
        <f>'06 Bug Tracker'!R36</f>
        <v/>
      </c>
      <c r="M36" s="29">
        <f>'06 Bug Tracker'!N36</f>
        <v/>
      </c>
      <c r="N36" s="29" t="inlineStr"/>
      <c r="O36" s="29" t="inlineStr"/>
    </row>
    <row r="37">
      <c r="A37" s="27">
        <f>'06 Bug Tracker'!A37</f>
        <v/>
      </c>
      <c r="B37" s="27">
        <f>'06 Bug Tracker'!B37</f>
        <v/>
      </c>
      <c r="C37" s="27">
        <f>'06 Bug Tracker'!D37</f>
        <v/>
      </c>
      <c r="D37" s="27">
        <f>'06 Bug Tracker'!J37</f>
        <v/>
      </c>
      <c r="E37" s="27">
        <f>'06 Bug Tracker'!K37</f>
        <v/>
      </c>
      <c r="F37" s="27">
        <f>'06 Bug Tracker'!L37</f>
        <v/>
      </c>
      <c r="G37" s="27">
        <f>'06 Bug Tracker'!N37</f>
        <v/>
      </c>
      <c r="H37" s="27">
        <f>'06 Bug Tracker'!M37</f>
        <v/>
      </c>
      <c r="I37" s="27">
        <f>IF(A37="","",IF(OR(F37="New",F37="Open",F37="In Progress",F37="Fixed",F37="Retest"),"Yes","No"))</f>
        <v/>
      </c>
      <c r="J37" s="27">
        <f>IF(A37="","",IF(F37="Retest","Fixed — Ready for Retest",IF(F37="Fixed","Fixed — Ready for Retest",IF(F37="In Progress","In Progress",IF(OR(F37="New",F37="Open"),"Queued",IF(F37="Closed","Done",IF(F37="Won't Fix","Won't Fix","")))))))</f>
        <v/>
      </c>
      <c r="K37" s="27" t="inlineStr"/>
      <c r="L37" s="27">
        <f>'06 Bug Tracker'!R37</f>
        <v/>
      </c>
      <c r="M37" s="27">
        <f>'06 Bug Tracker'!N37</f>
        <v/>
      </c>
      <c r="N37" s="27" t="inlineStr"/>
      <c r="O37" s="27" t="inlineStr"/>
    </row>
    <row r="38">
      <c r="A38" s="29">
        <f>'06 Bug Tracker'!A38</f>
        <v/>
      </c>
      <c r="B38" s="29">
        <f>'06 Bug Tracker'!B38</f>
        <v/>
      </c>
      <c r="C38" s="29">
        <f>'06 Bug Tracker'!D38</f>
        <v/>
      </c>
      <c r="D38" s="29">
        <f>'06 Bug Tracker'!J38</f>
        <v/>
      </c>
      <c r="E38" s="29">
        <f>'06 Bug Tracker'!K38</f>
        <v/>
      </c>
      <c r="F38" s="29">
        <f>'06 Bug Tracker'!L38</f>
        <v/>
      </c>
      <c r="G38" s="29">
        <f>'06 Bug Tracker'!N38</f>
        <v/>
      </c>
      <c r="H38" s="29">
        <f>'06 Bug Tracker'!M38</f>
        <v/>
      </c>
      <c r="I38" s="29">
        <f>IF(A38="","",IF(OR(F38="New",F38="Open",F38="In Progress",F38="Fixed",F38="Retest"),"Yes","No"))</f>
        <v/>
      </c>
      <c r="J38" s="29">
        <f>IF(A38="","",IF(F38="Retest","Fixed — Ready for Retest",IF(F38="Fixed","Fixed — Ready for Retest",IF(F38="In Progress","In Progress",IF(OR(F38="New",F38="Open"),"Queued",IF(F38="Closed","Done",IF(F38="Won't Fix","Won't Fix","")))))))</f>
        <v/>
      </c>
      <c r="K38" s="29" t="inlineStr"/>
      <c r="L38" s="29">
        <f>'06 Bug Tracker'!R38</f>
        <v/>
      </c>
      <c r="M38" s="29">
        <f>'06 Bug Tracker'!N38</f>
        <v/>
      </c>
      <c r="N38" s="29" t="inlineStr"/>
      <c r="O38" s="29" t="inlineStr"/>
    </row>
    <row r="39">
      <c r="A39" s="27">
        <f>'06 Bug Tracker'!A39</f>
        <v/>
      </c>
      <c r="B39" s="27">
        <f>'06 Bug Tracker'!B39</f>
        <v/>
      </c>
      <c r="C39" s="27">
        <f>'06 Bug Tracker'!D39</f>
        <v/>
      </c>
      <c r="D39" s="27">
        <f>'06 Bug Tracker'!J39</f>
        <v/>
      </c>
      <c r="E39" s="27">
        <f>'06 Bug Tracker'!K39</f>
        <v/>
      </c>
      <c r="F39" s="27">
        <f>'06 Bug Tracker'!L39</f>
        <v/>
      </c>
      <c r="G39" s="27">
        <f>'06 Bug Tracker'!N39</f>
        <v/>
      </c>
      <c r="H39" s="27">
        <f>'06 Bug Tracker'!M39</f>
        <v/>
      </c>
      <c r="I39" s="27">
        <f>IF(A39="","",IF(OR(F39="New",F39="Open",F39="In Progress",F39="Fixed",F39="Retest"),"Yes","No"))</f>
        <v/>
      </c>
      <c r="J39" s="27">
        <f>IF(A39="","",IF(F39="Retest","Fixed — Ready for Retest",IF(F39="Fixed","Fixed — Ready for Retest",IF(F39="In Progress","In Progress",IF(OR(F39="New",F39="Open"),"Queued",IF(F39="Closed","Done",IF(F39="Won't Fix","Won't Fix","")))))))</f>
        <v/>
      </c>
      <c r="K39" s="27" t="inlineStr"/>
      <c r="L39" s="27">
        <f>'06 Bug Tracker'!R39</f>
        <v/>
      </c>
      <c r="M39" s="27">
        <f>'06 Bug Tracker'!N39</f>
        <v/>
      </c>
      <c r="N39" s="27" t="inlineStr"/>
      <c r="O39" s="27" t="inlineStr"/>
    </row>
    <row r="40">
      <c r="A40" s="29">
        <f>'06 Bug Tracker'!A40</f>
        <v/>
      </c>
      <c r="B40" s="29">
        <f>'06 Bug Tracker'!B40</f>
        <v/>
      </c>
      <c r="C40" s="29">
        <f>'06 Bug Tracker'!D40</f>
        <v/>
      </c>
      <c r="D40" s="29">
        <f>'06 Bug Tracker'!J40</f>
        <v/>
      </c>
      <c r="E40" s="29">
        <f>'06 Bug Tracker'!K40</f>
        <v/>
      </c>
      <c r="F40" s="29">
        <f>'06 Bug Tracker'!L40</f>
        <v/>
      </c>
      <c r="G40" s="29">
        <f>'06 Bug Tracker'!N40</f>
        <v/>
      </c>
      <c r="H40" s="29">
        <f>'06 Bug Tracker'!M40</f>
        <v/>
      </c>
      <c r="I40" s="29">
        <f>IF(A40="","",IF(OR(F40="New",F40="Open",F40="In Progress",F40="Fixed",F40="Retest"),"Yes","No"))</f>
        <v/>
      </c>
      <c r="J40" s="29">
        <f>IF(A40="","",IF(F40="Retest","Fixed — Ready for Retest",IF(F40="Fixed","Fixed — Ready for Retest",IF(F40="In Progress","In Progress",IF(OR(F40="New",F40="Open"),"Queued",IF(F40="Closed","Done",IF(F40="Won't Fix","Won't Fix","")))))))</f>
        <v/>
      </c>
      <c r="K40" s="29" t="inlineStr"/>
      <c r="L40" s="29">
        <f>'06 Bug Tracker'!R40</f>
        <v/>
      </c>
      <c r="M40" s="29">
        <f>'06 Bug Tracker'!N40</f>
        <v/>
      </c>
      <c r="N40" s="29" t="inlineStr"/>
      <c r="O40" s="29" t="inlineStr"/>
    </row>
    <row r="41">
      <c r="A41" s="27">
        <f>'06 Bug Tracker'!A41</f>
        <v/>
      </c>
      <c r="B41" s="27">
        <f>'06 Bug Tracker'!B41</f>
        <v/>
      </c>
      <c r="C41" s="27">
        <f>'06 Bug Tracker'!D41</f>
        <v/>
      </c>
      <c r="D41" s="27">
        <f>'06 Bug Tracker'!J41</f>
        <v/>
      </c>
      <c r="E41" s="27">
        <f>'06 Bug Tracker'!K41</f>
        <v/>
      </c>
      <c r="F41" s="27">
        <f>'06 Bug Tracker'!L41</f>
        <v/>
      </c>
      <c r="G41" s="27">
        <f>'06 Bug Tracker'!N41</f>
        <v/>
      </c>
      <c r="H41" s="27">
        <f>'06 Bug Tracker'!M41</f>
        <v/>
      </c>
      <c r="I41" s="27">
        <f>IF(A41="","",IF(OR(F41="New",F41="Open",F41="In Progress",F41="Fixed",F41="Retest"),"Yes","No"))</f>
        <v/>
      </c>
      <c r="J41" s="27">
        <f>IF(A41="","",IF(F41="Retest","Fixed — Ready for Retest",IF(F41="Fixed","Fixed — Ready for Retest",IF(F41="In Progress","In Progress",IF(OR(F41="New",F41="Open"),"Queued",IF(F41="Closed","Done",IF(F41="Won't Fix","Won't Fix","")))))))</f>
        <v/>
      </c>
      <c r="K41" s="27" t="inlineStr"/>
      <c r="L41" s="27">
        <f>'06 Bug Tracker'!R41</f>
        <v/>
      </c>
      <c r="M41" s="27">
        <f>'06 Bug Tracker'!N41</f>
        <v/>
      </c>
      <c r="N41" s="27" t="inlineStr"/>
      <c r="O41" s="27" t="inlineStr"/>
    </row>
    <row r="42">
      <c r="A42" s="29">
        <f>'06 Bug Tracker'!A42</f>
        <v/>
      </c>
      <c r="B42" s="29">
        <f>'06 Bug Tracker'!B42</f>
        <v/>
      </c>
      <c r="C42" s="29">
        <f>'06 Bug Tracker'!D42</f>
        <v/>
      </c>
      <c r="D42" s="29">
        <f>'06 Bug Tracker'!J42</f>
        <v/>
      </c>
      <c r="E42" s="29">
        <f>'06 Bug Tracker'!K42</f>
        <v/>
      </c>
      <c r="F42" s="29">
        <f>'06 Bug Tracker'!L42</f>
        <v/>
      </c>
      <c r="G42" s="29">
        <f>'06 Bug Tracker'!N42</f>
        <v/>
      </c>
      <c r="H42" s="29">
        <f>'06 Bug Tracker'!M42</f>
        <v/>
      </c>
      <c r="I42" s="29">
        <f>IF(A42="","",IF(OR(F42="New",F42="Open",F42="In Progress",F42="Fixed",F42="Retest"),"Yes","No"))</f>
        <v/>
      </c>
      <c r="J42" s="29">
        <f>IF(A42="","",IF(F42="Retest","Fixed — Ready for Retest",IF(F42="Fixed","Fixed — Ready for Retest",IF(F42="In Progress","In Progress",IF(OR(F42="New",F42="Open"),"Queued",IF(F42="Closed","Done",IF(F42="Won't Fix","Won't Fix","")))))))</f>
        <v/>
      </c>
      <c r="K42" s="29" t="inlineStr"/>
      <c r="L42" s="29">
        <f>'06 Bug Tracker'!R42</f>
        <v/>
      </c>
      <c r="M42" s="29">
        <f>'06 Bug Tracker'!N42</f>
        <v/>
      </c>
      <c r="N42" s="29" t="inlineStr"/>
      <c r="O42" s="29" t="inlineStr"/>
    </row>
    <row r="43">
      <c r="A43" s="27">
        <f>'06 Bug Tracker'!A43</f>
        <v/>
      </c>
      <c r="B43" s="27">
        <f>'06 Bug Tracker'!B43</f>
        <v/>
      </c>
      <c r="C43" s="27">
        <f>'06 Bug Tracker'!D43</f>
        <v/>
      </c>
      <c r="D43" s="27">
        <f>'06 Bug Tracker'!J43</f>
        <v/>
      </c>
      <c r="E43" s="27">
        <f>'06 Bug Tracker'!K43</f>
        <v/>
      </c>
      <c r="F43" s="27">
        <f>'06 Bug Tracker'!L43</f>
        <v/>
      </c>
      <c r="G43" s="27">
        <f>'06 Bug Tracker'!N43</f>
        <v/>
      </c>
      <c r="H43" s="27">
        <f>'06 Bug Tracker'!M43</f>
        <v/>
      </c>
      <c r="I43" s="27">
        <f>IF(A43="","",IF(OR(F43="New",F43="Open",F43="In Progress",F43="Fixed",F43="Retest"),"Yes","No"))</f>
        <v/>
      </c>
      <c r="J43" s="27">
        <f>IF(A43="","",IF(F43="Retest","Fixed — Ready for Retest",IF(F43="Fixed","Fixed — Ready for Retest",IF(F43="In Progress","In Progress",IF(OR(F43="New",F43="Open"),"Queued",IF(F43="Closed","Done",IF(F43="Won't Fix","Won't Fix","")))))))</f>
        <v/>
      </c>
      <c r="K43" s="27" t="inlineStr"/>
      <c r="L43" s="27">
        <f>'06 Bug Tracker'!R43</f>
        <v/>
      </c>
      <c r="M43" s="27">
        <f>'06 Bug Tracker'!N43</f>
        <v/>
      </c>
      <c r="N43" s="27" t="inlineStr"/>
      <c r="O43" s="27" t="inlineStr"/>
    </row>
    <row r="44">
      <c r="A44" s="29">
        <f>'06 Bug Tracker'!A44</f>
        <v/>
      </c>
      <c r="B44" s="29">
        <f>'06 Bug Tracker'!B44</f>
        <v/>
      </c>
      <c r="C44" s="29">
        <f>'06 Bug Tracker'!D44</f>
        <v/>
      </c>
      <c r="D44" s="29">
        <f>'06 Bug Tracker'!J44</f>
        <v/>
      </c>
      <c r="E44" s="29">
        <f>'06 Bug Tracker'!K44</f>
        <v/>
      </c>
      <c r="F44" s="29">
        <f>'06 Bug Tracker'!L44</f>
        <v/>
      </c>
      <c r="G44" s="29">
        <f>'06 Bug Tracker'!N44</f>
        <v/>
      </c>
      <c r="H44" s="29">
        <f>'06 Bug Tracker'!M44</f>
        <v/>
      </c>
      <c r="I44" s="29">
        <f>IF(A44="","",IF(OR(F44="New",F44="Open",F44="In Progress",F44="Fixed",F44="Retest"),"Yes","No"))</f>
        <v/>
      </c>
      <c r="J44" s="29">
        <f>IF(A44="","",IF(F44="Retest","Fixed — Ready for Retest",IF(F44="Fixed","Fixed — Ready for Retest",IF(F44="In Progress","In Progress",IF(OR(F44="New",F44="Open"),"Queued",IF(F44="Closed","Done",IF(F44="Won't Fix","Won't Fix","")))))))</f>
        <v/>
      </c>
      <c r="K44" s="29" t="inlineStr"/>
      <c r="L44" s="29">
        <f>'06 Bug Tracker'!R44</f>
        <v/>
      </c>
      <c r="M44" s="29">
        <f>'06 Bug Tracker'!N44</f>
        <v/>
      </c>
      <c r="N44" s="29" t="inlineStr"/>
      <c r="O44" s="29" t="inlineStr"/>
    </row>
    <row r="45">
      <c r="A45" s="27">
        <f>'06 Bug Tracker'!A45</f>
        <v/>
      </c>
      <c r="B45" s="27">
        <f>'06 Bug Tracker'!B45</f>
        <v/>
      </c>
      <c r="C45" s="27">
        <f>'06 Bug Tracker'!D45</f>
        <v/>
      </c>
      <c r="D45" s="27">
        <f>'06 Bug Tracker'!J45</f>
        <v/>
      </c>
      <c r="E45" s="27">
        <f>'06 Bug Tracker'!K45</f>
        <v/>
      </c>
      <c r="F45" s="27">
        <f>'06 Bug Tracker'!L45</f>
        <v/>
      </c>
      <c r="G45" s="27">
        <f>'06 Bug Tracker'!N45</f>
        <v/>
      </c>
      <c r="H45" s="27">
        <f>'06 Bug Tracker'!M45</f>
        <v/>
      </c>
      <c r="I45" s="27">
        <f>IF(A45="","",IF(OR(F45="New",F45="Open",F45="In Progress",F45="Fixed",F45="Retest"),"Yes","No"))</f>
        <v/>
      </c>
      <c r="J45" s="27">
        <f>IF(A45="","",IF(F45="Retest","Fixed — Ready for Retest",IF(F45="Fixed","Fixed — Ready for Retest",IF(F45="In Progress","In Progress",IF(OR(F45="New",F45="Open"),"Queued",IF(F45="Closed","Done",IF(F45="Won't Fix","Won't Fix","")))))))</f>
        <v/>
      </c>
      <c r="K45" s="27" t="inlineStr"/>
      <c r="L45" s="27">
        <f>'06 Bug Tracker'!R45</f>
        <v/>
      </c>
      <c r="M45" s="27">
        <f>'06 Bug Tracker'!N45</f>
        <v/>
      </c>
      <c r="N45" s="27" t="inlineStr"/>
      <c r="O45" s="27" t="inlineStr"/>
    </row>
    <row r="46">
      <c r="A46" s="29">
        <f>'06 Bug Tracker'!A46</f>
        <v/>
      </c>
      <c r="B46" s="29">
        <f>'06 Bug Tracker'!B46</f>
        <v/>
      </c>
      <c r="C46" s="29">
        <f>'06 Bug Tracker'!D46</f>
        <v/>
      </c>
      <c r="D46" s="29">
        <f>'06 Bug Tracker'!J46</f>
        <v/>
      </c>
      <c r="E46" s="29">
        <f>'06 Bug Tracker'!K46</f>
        <v/>
      </c>
      <c r="F46" s="29">
        <f>'06 Bug Tracker'!L46</f>
        <v/>
      </c>
      <c r="G46" s="29">
        <f>'06 Bug Tracker'!N46</f>
        <v/>
      </c>
      <c r="H46" s="29">
        <f>'06 Bug Tracker'!M46</f>
        <v/>
      </c>
      <c r="I46" s="29">
        <f>IF(A46="","",IF(OR(F46="New",F46="Open",F46="In Progress",F46="Fixed",F46="Retest"),"Yes","No"))</f>
        <v/>
      </c>
      <c r="J46" s="29">
        <f>IF(A46="","",IF(F46="Retest","Fixed — Ready for Retest",IF(F46="Fixed","Fixed — Ready for Retest",IF(F46="In Progress","In Progress",IF(OR(F46="New",F46="Open"),"Queued",IF(F46="Closed","Done",IF(F46="Won't Fix","Won't Fix","")))))))</f>
        <v/>
      </c>
      <c r="K46" s="29" t="inlineStr"/>
      <c r="L46" s="29">
        <f>'06 Bug Tracker'!R46</f>
        <v/>
      </c>
      <c r="M46" s="29">
        <f>'06 Bug Tracker'!N46</f>
        <v/>
      </c>
      <c r="N46" s="29" t="inlineStr"/>
      <c r="O46" s="29" t="inlineStr"/>
    </row>
    <row r="47">
      <c r="A47" s="27">
        <f>'06 Bug Tracker'!A47</f>
        <v/>
      </c>
      <c r="B47" s="27">
        <f>'06 Bug Tracker'!B47</f>
        <v/>
      </c>
      <c r="C47" s="27">
        <f>'06 Bug Tracker'!D47</f>
        <v/>
      </c>
      <c r="D47" s="27">
        <f>'06 Bug Tracker'!J47</f>
        <v/>
      </c>
      <c r="E47" s="27">
        <f>'06 Bug Tracker'!K47</f>
        <v/>
      </c>
      <c r="F47" s="27">
        <f>'06 Bug Tracker'!L47</f>
        <v/>
      </c>
      <c r="G47" s="27">
        <f>'06 Bug Tracker'!N47</f>
        <v/>
      </c>
      <c r="H47" s="27">
        <f>'06 Bug Tracker'!M47</f>
        <v/>
      </c>
      <c r="I47" s="27">
        <f>IF(A47="","",IF(OR(F47="New",F47="Open",F47="In Progress",F47="Fixed",F47="Retest"),"Yes","No"))</f>
        <v/>
      </c>
      <c r="J47" s="27">
        <f>IF(A47="","",IF(F47="Retest","Fixed — Ready for Retest",IF(F47="Fixed","Fixed — Ready for Retest",IF(F47="In Progress","In Progress",IF(OR(F47="New",F47="Open"),"Queued",IF(F47="Closed","Done",IF(F47="Won't Fix","Won't Fix","")))))))</f>
        <v/>
      </c>
      <c r="K47" s="27" t="inlineStr"/>
      <c r="L47" s="27">
        <f>'06 Bug Tracker'!R47</f>
        <v/>
      </c>
      <c r="M47" s="27">
        <f>'06 Bug Tracker'!N47</f>
        <v/>
      </c>
      <c r="N47" s="27" t="inlineStr"/>
      <c r="O47" s="27" t="inlineStr"/>
    </row>
    <row r="48">
      <c r="A48" s="29">
        <f>'06 Bug Tracker'!A48</f>
        <v/>
      </c>
      <c r="B48" s="29">
        <f>'06 Bug Tracker'!B48</f>
        <v/>
      </c>
      <c r="C48" s="29">
        <f>'06 Bug Tracker'!D48</f>
        <v/>
      </c>
      <c r="D48" s="29">
        <f>'06 Bug Tracker'!J48</f>
        <v/>
      </c>
      <c r="E48" s="29">
        <f>'06 Bug Tracker'!K48</f>
        <v/>
      </c>
      <c r="F48" s="29">
        <f>'06 Bug Tracker'!L48</f>
        <v/>
      </c>
      <c r="G48" s="29">
        <f>'06 Bug Tracker'!N48</f>
        <v/>
      </c>
      <c r="H48" s="29">
        <f>'06 Bug Tracker'!M48</f>
        <v/>
      </c>
      <c r="I48" s="29">
        <f>IF(A48="","",IF(OR(F48="New",F48="Open",F48="In Progress",F48="Fixed",F48="Retest"),"Yes","No"))</f>
        <v/>
      </c>
      <c r="J48" s="29">
        <f>IF(A48="","",IF(F48="Retest","Fixed — Ready for Retest",IF(F48="Fixed","Fixed — Ready for Retest",IF(F48="In Progress","In Progress",IF(OR(F48="New",F48="Open"),"Queued",IF(F48="Closed","Done",IF(F48="Won't Fix","Won't Fix","")))))))</f>
        <v/>
      </c>
      <c r="K48" s="29" t="inlineStr"/>
      <c r="L48" s="29">
        <f>'06 Bug Tracker'!R48</f>
        <v/>
      </c>
      <c r="M48" s="29">
        <f>'06 Bug Tracker'!N48</f>
        <v/>
      </c>
      <c r="N48" s="29" t="inlineStr"/>
      <c r="O48" s="29" t="inlineStr"/>
    </row>
    <row r="49">
      <c r="A49" s="27">
        <f>'06 Bug Tracker'!A49</f>
        <v/>
      </c>
      <c r="B49" s="27">
        <f>'06 Bug Tracker'!B49</f>
        <v/>
      </c>
      <c r="C49" s="27">
        <f>'06 Bug Tracker'!D49</f>
        <v/>
      </c>
      <c r="D49" s="27">
        <f>'06 Bug Tracker'!J49</f>
        <v/>
      </c>
      <c r="E49" s="27">
        <f>'06 Bug Tracker'!K49</f>
        <v/>
      </c>
      <c r="F49" s="27">
        <f>'06 Bug Tracker'!L49</f>
        <v/>
      </c>
      <c r="G49" s="27">
        <f>'06 Bug Tracker'!N49</f>
        <v/>
      </c>
      <c r="H49" s="27">
        <f>'06 Bug Tracker'!M49</f>
        <v/>
      </c>
      <c r="I49" s="27">
        <f>IF(A49="","",IF(OR(F49="New",F49="Open",F49="In Progress",F49="Fixed",F49="Retest"),"Yes","No"))</f>
        <v/>
      </c>
      <c r="J49" s="27">
        <f>IF(A49="","",IF(F49="Retest","Fixed — Ready for Retest",IF(F49="Fixed","Fixed — Ready for Retest",IF(F49="In Progress","In Progress",IF(OR(F49="New",F49="Open"),"Queued",IF(F49="Closed","Done",IF(F49="Won't Fix","Won't Fix","")))))))</f>
        <v/>
      </c>
      <c r="K49" s="27" t="inlineStr"/>
      <c r="L49" s="27">
        <f>'06 Bug Tracker'!R49</f>
        <v/>
      </c>
      <c r="M49" s="27">
        <f>'06 Bug Tracker'!N49</f>
        <v/>
      </c>
      <c r="N49" s="27" t="inlineStr"/>
      <c r="O49" s="27" t="inlineStr"/>
    </row>
    <row r="50">
      <c r="A50" s="29">
        <f>'06 Bug Tracker'!A50</f>
        <v/>
      </c>
      <c r="B50" s="29">
        <f>'06 Bug Tracker'!B50</f>
        <v/>
      </c>
      <c r="C50" s="29">
        <f>'06 Bug Tracker'!D50</f>
        <v/>
      </c>
      <c r="D50" s="29">
        <f>'06 Bug Tracker'!J50</f>
        <v/>
      </c>
      <c r="E50" s="29">
        <f>'06 Bug Tracker'!K50</f>
        <v/>
      </c>
      <c r="F50" s="29">
        <f>'06 Bug Tracker'!L50</f>
        <v/>
      </c>
      <c r="G50" s="29">
        <f>'06 Bug Tracker'!N50</f>
        <v/>
      </c>
      <c r="H50" s="29">
        <f>'06 Bug Tracker'!M50</f>
        <v/>
      </c>
      <c r="I50" s="29">
        <f>IF(A50="","",IF(OR(F50="New",F50="Open",F50="In Progress",F50="Fixed",F50="Retest"),"Yes","No"))</f>
        <v/>
      </c>
      <c r="J50" s="29">
        <f>IF(A50="","",IF(F50="Retest","Fixed — Ready for Retest",IF(F50="Fixed","Fixed — Ready for Retest",IF(F50="In Progress","In Progress",IF(OR(F50="New",F50="Open"),"Queued",IF(F50="Closed","Done",IF(F50="Won't Fix","Won't Fix","")))))))</f>
        <v/>
      </c>
      <c r="K50" s="29" t="inlineStr"/>
      <c r="L50" s="29">
        <f>'06 Bug Tracker'!R50</f>
        <v/>
      </c>
      <c r="M50" s="29">
        <f>'06 Bug Tracker'!N50</f>
        <v/>
      </c>
      <c r="N50" s="29" t="inlineStr"/>
      <c r="O50" s="29" t="inlineStr"/>
    </row>
    <row r="51">
      <c r="A51" s="27">
        <f>'06 Bug Tracker'!A51</f>
        <v/>
      </c>
      <c r="B51" s="27">
        <f>'06 Bug Tracker'!B51</f>
        <v/>
      </c>
      <c r="C51" s="27">
        <f>'06 Bug Tracker'!D51</f>
        <v/>
      </c>
      <c r="D51" s="27">
        <f>'06 Bug Tracker'!J51</f>
        <v/>
      </c>
      <c r="E51" s="27">
        <f>'06 Bug Tracker'!K51</f>
        <v/>
      </c>
      <c r="F51" s="27">
        <f>'06 Bug Tracker'!L51</f>
        <v/>
      </c>
      <c r="G51" s="27">
        <f>'06 Bug Tracker'!N51</f>
        <v/>
      </c>
      <c r="H51" s="27">
        <f>'06 Bug Tracker'!M51</f>
        <v/>
      </c>
      <c r="I51" s="27">
        <f>IF(A51="","",IF(OR(F51="New",F51="Open",F51="In Progress",F51="Fixed",F51="Retest"),"Yes","No"))</f>
        <v/>
      </c>
      <c r="J51" s="27">
        <f>IF(A51="","",IF(F51="Retest","Fixed — Ready for Retest",IF(F51="Fixed","Fixed — Ready for Retest",IF(F51="In Progress","In Progress",IF(OR(F51="New",F51="Open"),"Queued",IF(F51="Closed","Done",IF(F51="Won't Fix","Won't Fix","")))))))</f>
        <v/>
      </c>
      <c r="K51" s="27" t="inlineStr"/>
      <c r="L51" s="27">
        <f>'06 Bug Tracker'!R51</f>
        <v/>
      </c>
      <c r="M51" s="27">
        <f>'06 Bug Tracker'!N51</f>
        <v/>
      </c>
      <c r="N51" s="27" t="inlineStr"/>
      <c r="O51" s="27" t="inlineStr"/>
    </row>
    <row r="52">
      <c r="A52" s="29">
        <f>'06 Bug Tracker'!A52</f>
        <v/>
      </c>
      <c r="B52" s="29">
        <f>'06 Bug Tracker'!B52</f>
        <v/>
      </c>
      <c r="C52" s="29">
        <f>'06 Bug Tracker'!D52</f>
        <v/>
      </c>
      <c r="D52" s="29">
        <f>'06 Bug Tracker'!J52</f>
        <v/>
      </c>
      <c r="E52" s="29">
        <f>'06 Bug Tracker'!K52</f>
        <v/>
      </c>
      <c r="F52" s="29">
        <f>'06 Bug Tracker'!L52</f>
        <v/>
      </c>
      <c r="G52" s="29">
        <f>'06 Bug Tracker'!N52</f>
        <v/>
      </c>
      <c r="H52" s="29">
        <f>'06 Bug Tracker'!M52</f>
        <v/>
      </c>
      <c r="I52" s="29">
        <f>IF(A52="","",IF(OR(F52="New",F52="Open",F52="In Progress",F52="Fixed",F52="Retest"),"Yes","No"))</f>
        <v/>
      </c>
      <c r="J52" s="29">
        <f>IF(A52="","",IF(F52="Retest","Fixed — Ready for Retest",IF(F52="Fixed","Fixed — Ready for Retest",IF(F52="In Progress","In Progress",IF(OR(F52="New",F52="Open"),"Queued",IF(F52="Closed","Done",IF(F52="Won't Fix","Won't Fix","")))))))</f>
        <v/>
      </c>
      <c r="K52" s="29" t="inlineStr"/>
      <c r="L52" s="29">
        <f>'06 Bug Tracker'!R52</f>
        <v/>
      </c>
      <c r="M52" s="29">
        <f>'06 Bug Tracker'!N52</f>
        <v/>
      </c>
      <c r="N52" s="29" t="inlineStr"/>
      <c r="O52" s="29" t="inlineStr"/>
    </row>
    <row r="53">
      <c r="A53" s="27">
        <f>'06 Bug Tracker'!A53</f>
        <v/>
      </c>
      <c r="B53" s="27">
        <f>'06 Bug Tracker'!B53</f>
        <v/>
      </c>
      <c r="C53" s="27">
        <f>'06 Bug Tracker'!D53</f>
        <v/>
      </c>
      <c r="D53" s="27">
        <f>'06 Bug Tracker'!J53</f>
        <v/>
      </c>
      <c r="E53" s="27">
        <f>'06 Bug Tracker'!K53</f>
        <v/>
      </c>
      <c r="F53" s="27">
        <f>'06 Bug Tracker'!L53</f>
        <v/>
      </c>
      <c r="G53" s="27">
        <f>'06 Bug Tracker'!N53</f>
        <v/>
      </c>
      <c r="H53" s="27">
        <f>'06 Bug Tracker'!M53</f>
        <v/>
      </c>
      <c r="I53" s="27">
        <f>IF(A53="","",IF(OR(F53="New",F53="Open",F53="In Progress",F53="Fixed",F53="Retest"),"Yes","No"))</f>
        <v/>
      </c>
      <c r="J53" s="27">
        <f>IF(A53="","",IF(F53="Retest","Fixed — Ready for Retest",IF(F53="Fixed","Fixed — Ready for Retest",IF(F53="In Progress","In Progress",IF(OR(F53="New",F53="Open"),"Queued",IF(F53="Closed","Done",IF(F53="Won't Fix","Won't Fix","")))))))</f>
        <v/>
      </c>
      <c r="K53" s="27" t="inlineStr"/>
      <c r="L53" s="27">
        <f>'06 Bug Tracker'!R53</f>
        <v/>
      </c>
      <c r="M53" s="27">
        <f>'06 Bug Tracker'!N53</f>
        <v/>
      </c>
      <c r="N53" s="27" t="inlineStr"/>
      <c r="O53" s="27" t="inlineStr"/>
    </row>
    <row r="54">
      <c r="A54" s="29">
        <f>'06 Bug Tracker'!A54</f>
        <v/>
      </c>
      <c r="B54" s="29">
        <f>'06 Bug Tracker'!B54</f>
        <v/>
      </c>
      <c r="C54" s="29">
        <f>'06 Bug Tracker'!D54</f>
        <v/>
      </c>
      <c r="D54" s="29">
        <f>'06 Bug Tracker'!J54</f>
        <v/>
      </c>
      <c r="E54" s="29">
        <f>'06 Bug Tracker'!K54</f>
        <v/>
      </c>
      <c r="F54" s="29">
        <f>'06 Bug Tracker'!L54</f>
        <v/>
      </c>
      <c r="G54" s="29">
        <f>'06 Bug Tracker'!N54</f>
        <v/>
      </c>
      <c r="H54" s="29">
        <f>'06 Bug Tracker'!M54</f>
        <v/>
      </c>
      <c r="I54" s="29">
        <f>IF(A54="","",IF(OR(F54="New",F54="Open",F54="In Progress",F54="Fixed",F54="Retest"),"Yes","No"))</f>
        <v/>
      </c>
      <c r="J54" s="29">
        <f>IF(A54="","",IF(F54="Retest","Fixed — Ready for Retest",IF(F54="Fixed","Fixed — Ready for Retest",IF(F54="In Progress","In Progress",IF(OR(F54="New",F54="Open"),"Queued",IF(F54="Closed","Done",IF(F54="Won't Fix","Won't Fix","")))))))</f>
        <v/>
      </c>
      <c r="K54" s="29" t="inlineStr"/>
      <c r="L54" s="29">
        <f>'06 Bug Tracker'!R54</f>
        <v/>
      </c>
      <c r="M54" s="29">
        <f>'06 Bug Tracker'!N54</f>
        <v/>
      </c>
      <c r="N54" s="29" t="inlineStr"/>
      <c r="O54" s="29" t="inlineStr"/>
    </row>
    <row r="55">
      <c r="A55" s="27">
        <f>'06 Bug Tracker'!A55</f>
        <v/>
      </c>
      <c r="B55" s="27">
        <f>'06 Bug Tracker'!B55</f>
        <v/>
      </c>
      <c r="C55" s="27">
        <f>'06 Bug Tracker'!D55</f>
        <v/>
      </c>
      <c r="D55" s="27">
        <f>'06 Bug Tracker'!J55</f>
        <v/>
      </c>
      <c r="E55" s="27">
        <f>'06 Bug Tracker'!K55</f>
        <v/>
      </c>
      <c r="F55" s="27">
        <f>'06 Bug Tracker'!L55</f>
        <v/>
      </c>
      <c r="G55" s="27">
        <f>'06 Bug Tracker'!N55</f>
        <v/>
      </c>
      <c r="H55" s="27">
        <f>'06 Bug Tracker'!M55</f>
        <v/>
      </c>
      <c r="I55" s="27">
        <f>IF(A55="","",IF(OR(F55="New",F55="Open",F55="In Progress",F55="Fixed",F55="Retest"),"Yes","No"))</f>
        <v/>
      </c>
      <c r="J55" s="27">
        <f>IF(A55="","",IF(F55="Retest","Fixed — Ready for Retest",IF(F55="Fixed","Fixed — Ready for Retest",IF(F55="In Progress","In Progress",IF(OR(F55="New",F55="Open"),"Queued",IF(F55="Closed","Done",IF(F55="Won't Fix","Won't Fix","")))))))</f>
        <v/>
      </c>
      <c r="K55" s="27" t="inlineStr"/>
      <c r="L55" s="27">
        <f>'06 Bug Tracker'!R55</f>
        <v/>
      </c>
      <c r="M55" s="27">
        <f>'06 Bug Tracker'!N55</f>
        <v/>
      </c>
      <c r="N55" s="27" t="inlineStr"/>
      <c r="O55" s="27" t="inlineStr"/>
    </row>
    <row r="56">
      <c r="A56" s="29">
        <f>'06 Bug Tracker'!A56</f>
        <v/>
      </c>
      <c r="B56" s="29">
        <f>'06 Bug Tracker'!B56</f>
        <v/>
      </c>
      <c r="C56" s="29">
        <f>'06 Bug Tracker'!D56</f>
        <v/>
      </c>
      <c r="D56" s="29">
        <f>'06 Bug Tracker'!J56</f>
        <v/>
      </c>
      <c r="E56" s="29">
        <f>'06 Bug Tracker'!K56</f>
        <v/>
      </c>
      <c r="F56" s="29">
        <f>'06 Bug Tracker'!L56</f>
        <v/>
      </c>
      <c r="G56" s="29">
        <f>'06 Bug Tracker'!N56</f>
        <v/>
      </c>
      <c r="H56" s="29">
        <f>'06 Bug Tracker'!M56</f>
        <v/>
      </c>
      <c r="I56" s="29">
        <f>IF(A56="","",IF(OR(F56="New",F56="Open",F56="In Progress",F56="Fixed",F56="Retest"),"Yes","No"))</f>
        <v/>
      </c>
      <c r="J56" s="29">
        <f>IF(A56="","",IF(F56="Retest","Fixed — Ready for Retest",IF(F56="Fixed","Fixed — Ready for Retest",IF(F56="In Progress","In Progress",IF(OR(F56="New",F56="Open"),"Queued",IF(F56="Closed","Done",IF(F56="Won't Fix","Won't Fix","")))))))</f>
        <v/>
      </c>
      <c r="K56" s="29" t="inlineStr"/>
      <c r="L56" s="29">
        <f>'06 Bug Tracker'!R56</f>
        <v/>
      </c>
      <c r="M56" s="29">
        <f>'06 Bug Tracker'!N56</f>
        <v/>
      </c>
      <c r="N56" s="29" t="inlineStr"/>
      <c r="O56" s="29" t="inlineStr"/>
    </row>
    <row r="57">
      <c r="A57" s="27">
        <f>'06 Bug Tracker'!A57</f>
        <v/>
      </c>
      <c r="B57" s="27">
        <f>'06 Bug Tracker'!B57</f>
        <v/>
      </c>
      <c r="C57" s="27">
        <f>'06 Bug Tracker'!D57</f>
        <v/>
      </c>
      <c r="D57" s="27">
        <f>'06 Bug Tracker'!J57</f>
        <v/>
      </c>
      <c r="E57" s="27">
        <f>'06 Bug Tracker'!K57</f>
        <v/>
      </c>
      <c r="F57" s="27">
        <f>'06 Bug Tracker'!L57</f>
        <v/>
      </c>
      <c r="G57" s="27">
        <f>'06 Bug Tracker'!N57</f>
        <v/>
      </c>
      <c r="H57" s="27">
        <f>'06 Bug Tracker'!M57</f>
        <v/>
      </c>
      <c r="I57" s="27">
        <f>IF(A57="","",IF(OR(F57="New",F57="Open",F57="In Progress",F57="Fixed",F57="Retest"),"Yes","No"))</f>
        <v/>
      </c>
      <c r="J57" s="27">
        <f>IF(A57="","",IF(F57="Retest","Fixed — Ready for Retest",IF(F57="Fixed","Fixed — Ready for Retest",IF(F57="In Progress","In Progress",IF(OR(F57="New",F57="Open"),"Queued",IF(F57="Closed","Done",IF(F57="Won't Fix","Won't Fix","")))))))</f>
        <v/>
      </c>
      <c r="K57" s="27" t="inlineStr"/>
      <c r="L57" s="27">
        <f>'06 Bug Tracker'!R57</f>
        <v/>
      </c>
      <c r="M57" s="27">
        <f>'06 Bug Tracker'!N57</f>
        <v/>
      </c>
      <c r="N57" s="27" t="inlineStr"/>
      <c r="O57" s="27" t="inlineStr"/>
    </row>
    <row r="58">
      <c r="A58" s="29">
        <f>'06 Bug Tracker'!A58</f>
        <v/>
      </c>
      <c r="B58" s="29">
        <f>'06 Bug Tracker'!B58</f>
        <v/>
      </c>
      <c r="C58" s="29">
        <f>'06 Bug Tracker'!D58</f>
        <v/>
      </c>
      <c r="D58" s="29">
        <f>'06 Bug Tracker'!J58</f>
        <v/>
      </c>
      <c r="E58" s="29">
        <f>'06 Bug Tracker'!K58</f>
        <v/>
      </c>
      <c r="F58" s="29">
        <f>'06 Bug Tracker'!L58</f>
        <v/>
      </c>
      <c r="G58" s="29">
        <f>'06 Bug Tracker'!N58</f>
        <v/>
      </c>
      <c r="H58" s="29">
        <f>'06 Bug Tracker'!M58</f>
        <v/>
      </c>
      <c r="I58" s="29">
        <f>IF(A58="","",IF(OR(F58="New",F58="Open",F58="In Progress",F58="Fixed",F58="Retest"),"Yes","No"))</f>
        <v/>
      </c>
      <c r="J58" s="29">
        <f>IF(A58="","",IF(F58="Retest","Fixed — Ready for Retest",IF(F58="Fixed","Fixed — Ready for Retest",IF(F58="In Progress","In Progress",IF(OR(F58="New",F58="Open"),"Queued",IF(F58="Closed","Done",IF(F58="Won't Fix","Won't Fix","")))))))</f>
        <v/>
      </c>
      <c r="K58" s="29" t="inlineStr"/>
      <c r="L58" s="29">
        <f>'06 Bug Tracker'!R58</f>
        <v/>
      </c>
      <c r="M58" s="29">
        <f>'06 Bug Tracker'!N58</f>
        <v/>
      </c>
      <c r="N58" s="29" t="inlineStr"/>
      <c r="O58" s="29" t="inlineStr"/>
    </row>
    <row r="59">
      <c r="A59" s="27">
        <f>'06 Bug Tracker'!A59</f>
        <v/>
      </c>
      <c r="B59" s="27">
        <f>'06 Bug Tracker'!B59</f>
        <v/>
      </c>
      <c r="C59" s="27">
        <f>'06 Bug Tracker'!D59</f>
        <v/>
      </c>
      <c r="D59" s="27">
        <f>'06 Bug Tracker'!J59</f>
        <v/>
      </c>
      <c r="E59" s="27">
        <f>'06 Bug Tracker'!K59</f>
        <v/>
      </c>
      <c r="F59" s="27">
        <f>'06 Bug Tracker'!L59</f>
        <v/>
      </c>
      <c r="G59" s="27">
        <f>'06 Bug Tracker'!N59</f>
        <v/>
      </c>
      <c r="H59" s="27">
        <f>'06 Bug Tracker'!M59</f>
        <v/>
      </c>
      <c r="I59" s="27">
        <f>IF(A59="","",IF(OR(F59="New",F59="Open",F59="In Progress",F59="Fixed",F59="Retest"),"Yes","No"))</f>
        <v/>
      </c>
      <c r="J59" s="27">
        <f>IF(A59="","",IF(F59="Retest","Fixed — Ready for Retest",IF(F59="Fixed","Fixed — Ready for Retest",IF(F59="In Progress","In Progress",IF(OR(F59="New",F59="Open"),"Queued",IF(F59="Closed","Done",IF(F59="Won't Fix","Won't Fix","")))))))</f>
        <v/>
      </c>
      <c r="K59" s="27" t="inlineStr"/>
      <c r="L59" s="27">
        <f>'06 Bug Tracker'!R59</f>
        <v/>
      </c>
      <c r="M59" s="27">
        <f>'06 Bug Tracker'!N59</f>
        <v/>
      </c>
      <c r="N59" s="27" t="inlineStr"/>
      <c r="O59" s="27" t="inlineStr"/>
    </row>
    <row r="60">
      <c r="A60" s="29">
        <f>'06 Bug Tracker'!A60</f>
        <v/>
      </c>
      <c r="B60" s="29">
        <f>'06 Bug Tracker'!B60</f>
        <v/>
      </c>
      <c r="C60" s="29">
        <f>'06 Bug Tracker'!D60</f>
        <v/>
      </c>
      <c r="D60" s="29">
        <f>'06 Bug Tracker'!J60</f>
        <v/>
      </c>
      <c r="E60" s="29">
        <f>'06 Bug Tracker'!K60</f>
        <v/>
      </c>
      <c r="F60" s="29">
        <f>'06 Bug Tracker'!L60</f>
        <v/>
      </c>
      <c r="G60" s="29">
        <f>'06 Bug Tracker'!N60</f>
        <v/>
      </c>
      <c r="H60" s="29">
        <f>'06 Bug Tracker'!M60</f>
        <v/>
      </c>
      <c r="I60" s="29">
        <f>IF(A60="","",IF(OR(F60="New",F60="Open",F60="In Progress",F60="Fixed",F60="Retest"),"Yes","No"))</f>
        <v/>
      </c>
      <c r="J60" s="29">
        <f>IF(A60="","",IF(F60="Retest","Fixed — Ready for Retest",IF(F60="Fixed","Fixed — Ready for Retest",IF(F60="In Progress","In Progress",IF(OR(F60="New",F60="Open"),"Queued",IF(F60="Closed","Done",IF(F60="Won't Fix","Won't Fix","")))))))</f>
        <v/>
      </c>
      <c r="K60" s="29" t="inlineStr"/>
      <c r="L60" s="29">
        <f>'06 Bug Tracker'!R60</f>
        <v/>
      </c>
      <c r="M60" s="29">
        <f>'06 Bug Tracker'!N60</f>
        <v/>
      </c>
      <c r="N60" s="29" t="inlineStr"/>
      <c r="O60" s="29" t="inlineStr"/>
    </row>
    <row r="61">
      <c r="A61" s="27">
        <f>'06 Bug Tracker'!A61</f>
        <v/>
      </c>
      <c r="B61" s="27">
        <f>'06 Bug Tracker'!B61</f>
        <v/>
      </c>
      <c r="C61" s="27">
        <f>'06 Bug Tracker'!D61</f>
        <v/>
      </c>
      <c r="D61" s="27">
        <f>'06 Bug Tracker'!J61</f>
        <v/>
      </c>
      <c r="E61" s="27">
        <f>'06 Bug Tracker'!K61</f>
        <v/>
      </c>
      <c r="F61" s="27">
        <f>'06 Bug Tracker'!L61</f>
        <v/>
      </c>
      <c r="G61" s="27">
        <f>'06 Bug Tracker'!N61</f>
        <v/>
      </c>
      <c r="H61" s="27">
        <f>'06 Bug Tracker'!M61</f>
        <v/>
      </c>
      <c r="I61" s="27">
        <f>IF(A61="","",IF(OR(F61="New",F61="Open",F61="In Progress",F61="Fixed",F61="Retest"),"Yes","No"))</f>
        <v/>
      </c>
      <c r="J61" s="27">
        <f>IF(A61="","",IF(F61="Retest","Fixed — Ready for Retest",IF(F61="Fixed","Fixed — Ready for Retest",IF(F61="In Progress","In Progress",IF(OR(F61="New",F61="Open"),"Queued",IF(F61="Closed","Done",IF(F61="Won't Fix","Won't Fix","")))))))</f>
        <v/>
      </c>
      <c r="K61" s="27" t="inlineStr"/>
      <c r="L61" s="27">
        <f>'06 Bug Tracker'!R61</f>
        <v/>
      </c>
      <c r="M61" s="27">
        <f>'06 Bug Tracker'!N61</f>
        <v/>
      </c>
      <c r="N61" s="27" t="inlineStr"/>
      <c r="O61" s="27" t="inlineStr"/>
    </row>
    <row r="62">
      <c r="A62" s="29">
        <f>'06 Bug Tracker'!A62</f>
        <v/>
      </c>
      <c r="B62" s="29">
        <f>'06 Bug Tracker'!B62</f>
        <v/>
      </c>
      <c r="C62" s="29">
        <f>'06 Bug Tracker'!D62</f>
        <v/>
      </c>
      <c r="D62" s="29">
        <f>'06 Bug Tracker'!J62</f>
        <v/>
      </c>
      <c r="E62" s="29">
        <f>'06 Bug Tracker'!K62</f>
        <v/>
      </c>
      <c r="F62" s="29">
        <f>'06 Bug Tracker'!L62</f>
        <v/>
      </c>
      <c r="G62" s="29">
        <f>'06 Bug Tracker'!N62</f>
        <v/>
      </c>
      <c r="H62" s="29">
        <f>'06 Bug Tracker'!M62</f>
        <v/>
      </c>
      <c r="I62" s="29">
        <f>IF(A62="","",IF(OR(F62="New",F62="Open",F62="In Progress",F62="Fixed",F62="Retest"),"Yes","No"))</f>
        <v/>
      </c>
      <c r="J62" s="29">
        <f>IF(A62="","",IF(F62="Retest","Fixed — Ready for Retest",IF(F62="Fixed","Fixed — Ready for Retest",IF(F62="In Progress","In Progress",IF(OR(F62="New",F62="Open"),"Queued",IF(F62="Closed","Done",IF(F62="Won't Fix","Won't Fix","")))))))</f>
        <v/>
      </c>
      <c r="K62" s="29" t="inlineStr"/>
      <c r="L62" s="29">
        <f>'06 Bug Tracker'!R62</f>
        <v/>
      </c>
      <c r="M62" s="29">
        <f>'06 Bug Tracker'!N62</f>
        <v/>
      </c>
      <c r="N62" s="29" t="inlineStr"/>
      <c r="O62" s="29" t="inlineStr"/>
    </row>
    <row r="63">
      <c r="A63" s="27">
        <f>'06 Bug Tracker'!A63</f>
        <v/>
      </c>
      <c r="B63" s="27">
        <f>'06 Bug Tracker'!B63</f>
        <v/>
      </c>
      <c r="C63" s="27">
        <f>'06 Bug Tracker'!D63</f>
        <v/>
      </c>
      <c r="D63" s="27">
        <f>'06 Bug Tracker'!J63</f>
        <v/>
      </c>
      <c r="E63" s="27">
        <f>'06 Bug Tracker'!K63</f>
        <v/>
      </c>
      <c r="F63" s="27">
        <f>'06 Bug Tracker'!L63</f>
        <v/>
      </c>
      <c r="G63" s="27">
        <f>'06 Bug Tracker'!N63</f>
        <v/>
      </c>
      <c r="H63" s="27">
        <f>'06 Bug Tracker'!M63</f>
        <v/>
      </c>
      <c r="I63" s="27">
        <f>IF(A63="","",IF(OR(F63="New",F63="Open",F63="In Progress",F63="Fixed",F63="Retest"),"Yes","No"))</f>
        <v/>
      </c>
      <c r="J63" s="27">
        <f>IF(A63="","",IF(F63="Retest","Fixed — Ready for Retest",IF(F63="Fixed","Fixed — Ready for Retest",IF(F63="In Progress","In Progress",IF(OR(F63="New",F63="Open"),"Queued",IF(F63="Closed","Done",IF(F63="Won't Fix","Won't Fix","")))))))</f>
        <v/>
      </c>
      <c r="K63" s="27" t="inlineStr"/>
      <c r="L63" s="27">
        <f>'06 Bug Tracker'!R63</f>
        <v/>
      </c>
      <c r="M63" s="27">
        <f>'06 Bug Tracker'!N63</f>
        <v/>
      </c>
      <c r="N63" s="27" t="inlineStr"/>
      <c r="O63" s="27" t="inlineStr"/>
    </row>
    <row r="64">
      <c r="A64" s="29">
        <f>'06 Bug Tracker'!A64</f>
        <v/>
      </c>
      <c r="B64" s="29">
        <f>'06 Bug Tracker'!B64</f>
        <v/>
      </c>
      <c r="C64" s="29">
        <f>'06 Bug Tracker'!D64</f>
        <v/>
      </c>
      <c r="D64" s="29">
        <f>'06 Bug Tracker'!J64</f>
        <v/>
      </c>
      <c r="E64" s="29">
        <f>'06 Bug Tracker'!K64</f>
        <v/>
      </c>
      <c r="F64" s="29">
        <f>'06 Bug Tracker'!L64</f>
        <v/>
      </c>
      <c r="G64" s="29">
        <f>'06 Bug Tracker'!N64</f>
        <v/>
      </c>
      <c r="H64" s="29">
        <f>'06 Bug Tracker'!M64</f>
        <v/>
      </c>
      <c r="I64" s="29">
        <f>IF(A64="","",IF(OR(F64="New",F64="Open",F64="In Progress",F64="Fixed",F64="Retest"),"Yes","No"))</f>
        <v/>
      </c>
      <c r="J64" s="29">
        <f>IF(A64="","",IF(F64="Retest","Fixed — Ready for Retest",IF(F64="Fixed","Fixed — Ready for Retest",IF(F64="In Progress","In Progress",IF(OR(F64="New",F64="Open"),"Queued",IF(F64="Closed","Done",IF(F64="Won't Fix","Won't Fix","")))))))</f>
        <v/>
      </c>
      <c r="K64" s="29" t="inlineStr"/>
      <c r="L64" s="29">
        <f>'06 Bug Tracker'!R64</f>
        <v/>
      </c>
      <c r="M64" s="29">
        <f>'06 Bug Tracker'!N64</f>
        <v/>
      </c>
      <c r="N64" s="29" t="inlineStr"/>
      <c r="O64" s="29" t="inlineStr"/>
    </row>
    <row r="65">
      <c r="A65" s="27">
        <f>'06 Bug Tracker'!A65</f>
        <v/>
      </c>
      <c r="B65" s="27">
        <f>'06 Bug Tracker'!B65</f>
        <v/>
      </c>
      <c r="C65" s="27">
        <f>'06 Bug Tracker'!D65</f>
        <v/>
      </c>
      <c r="D65" s="27">
        <f>'06 Bug Tracker'!J65</f>
        <v/>
      </c>
      <c r="E65" s="27">
        <f>'06 Bug Tracker'!K65</f>
        <v/>
      </c>
      <c r="F65" s="27">
        <f>'06 Bug Tracker'!L65</f>
        <v/>
      </c>
      <c r="G65" s="27">
        <f>'06 Bug Tracker'!N65</f>
        <v/>
      </c>
      <c r="H65" s="27">
        <f>'06 Bug Tracker'!M65</f>
        <v/>
      </c>
      <c r="I65" s="27">
        <f>IF(A65="","",IF(OR(F65="New",F65="Open",F65="In Progress",F65="Fixed",F65="Retest"),"Yes","No"))</f>
        <v/>
      </c>
      <c r="J65" s="27">
        <f>IF(A65="","",IF(F65="Retest","Fixed — Ready for Retest",IF(F65="Fixed","Fixed — Ready for Retest",IF(F65="In Progress","In Progress",IF(OR(F65="New",F65="Open"),"Queued",IF(F65="Closed","Done",IF(F65="Won't Fix","Won't Fix","")))))))</f>
        <v/>
      </c>
      <c r="K65" s="27" t="inlineStr"/>
      <c r="L65" s="27">
        <f>'06 Bug Tracker'!R65</f>
        <v/>
      </c>
      <c r="M65" s="27">
        <f>'06 Bug Tracker'!N65</f>
        <v/>
      </c>
      <c r="N65" s="27" t="inlineStr"/>
      <c r="O65" s="27" t="inlineStr"/>
    </row>
    <row r="66">
      <c r="A66" s="29">
        <f>'06 Bug Tracker'!A66</f>
        <v/>
      </c>
      <c r="B66" s="29">
        <f>'06 Bug Tracker'!B66</f>
        <v/>
      </c>
      <c r="C66" s="29">
        <f>'06 Bug Tracker'!D66</f>
        <v/>
      </c>
      <c r="D66" s="29">
        <f>'06 Bug Tracker'!J66</f>
        <v/>
      </c>
      <c r="E66" s="29">
        <f>'06 Bug Tracker'!K66</f>
        <v/>
      </c>
      <c r="F66" s="29">
        <f>'06 Bug Tracker'!L66</f>
        <v/>
      </c>
      <c r="G66" s="29">
        <f>'06 Bug Tracker'!N66</f>
        <v/>
      </c>
      <c r="H66" s="29">
        <f>'06 Bug Tracker'!M66</f>
        <v/>
      </c>
      <c r="I66" s="29">
        <f>IF(A66="","",IF(OR(F66="New",F66="Open",F66="In Progress",F66="Fixed",F66="Retest"),"Yes","No"))</f>
        <v/>
      </c>
      <c r="J66" s="29">
        <f>IF(A66="","",IF(F66="Retest","Fixed — Ready for Retest",IF(F66="Fixed","Fixed — Ready for Retest",IF(F66="In Progress","In Progress",IF(OR(F66="New",F66="Open"),"Queued",IF(F66="Closed","Done",IF(F66="Won't Fix","Won't Fix","")))))))</f>
        <v/>
      </c>
      <c r="K66" s="29" t="inlineStr"/>
      <c r="L66" s="29">
        <f>'06 Bug Tracker'!R66</f>
        <v/>
      </c>
      <c r="M66" s="29">
        <f>'06 Bug Tracker'!N66</f>
        <v/>
      </c>
      <c r="N66" s="29" t="inlineStr"/>
      <c r="O66" s="29" t="inlineStr"/>
    </row>
    <row r="67">
      <c r="A67" s="27">
        <f>'06 Bug Tracker'!A67</f>
        <v/>
      </c>
      <c r="B67" s="27">
        <f>'06 Bug Tracker'!B67</f>
        <v/>
      </c>
      <c r="C67" s="27">
        <f>'06 Bug Tracker'!D67</f>
        <v/>
      </c>
      <c r="D67" s="27">
        <f>'06 Bug Tracker'!J67</f>
        <v/>
      </c>
      <c r="E67" s="27">
        <f>'06 Bug Tracker'!K67</f>
        <v/>
      </c>
      <c r="F67" s="27">
        <f>'06 Bug Tracker'!L67</f>
        <v/>
      </c>
      <c r="G67" s="27">
        <f>'06 Bug Tracker'!N67</f>
        <v/>
      </c>
      <c r="H67" s="27">
        <f>'06 Bug Tracker'!M67</f>
        <v/>
      </c>
      <c r="I67" s="27">
        <f>IF(A67="","",IF(OR(F67="New",F67="Open",F67="In Progress",F67="Fixed",F67="Retest"),"Yes","No"))</f>
        <v/>
      </c>
      <c r="J67" s="27">
        <f>IF(A67="","",IF(F67="Retest","Fixed — Ready for Retest",IF(F67="Fixed","Fixed — Ready for Retest",IF(F67="In Progress","In Progress",IF(OR(F67="New",F67="Open"),"Queued",IF(F67="Closed","Done",IF(F67="Won't Fix","Won't Fix","")))))))</f>
        <v/>
      </c>
      <c r="K67" s="27" t="inlineStr"/>
      <c r="L67" s="27">
        <f>'06 Bug Tracker'!R67</f>
        <v/>
      </c>
      <c r="M67" s="27">
        <f>'06 Bug Tracker'!N67</f>
        <v/>
      </c>
      <c r="N67" s="27" t="inlineStr"/>
      <c r="O67" s="27" t="inlineStr"/>
    </row>
    <row r="68">
      <c r="A68" s="29">
        <f>'06 Bug Tracker'!A68</f>
        <v/>
      </c>
      <c r="B68" s="29">
        <f>'06 Bug Tracker'!B68</f>
        <v/>
      </c>
      <c r="C68" s="29">
        <f>'06 Bug Tracker'!D68</f>
        <v/>
      </c>
      <c r="D68" s="29">
        <f>'06 Bug Tracker'!J68</f>
        <v/>
      </c>
      <c r="E68" s="29">
        <f>'06 Bug Tracker'!K68</f>
        <v/>
      </c>
      <c r="F68" s="29">
        <f>'06 Bug Tracker'!L68</f>
        <v/>
      </c>
      <c r="G68" s="29">
        <f>'06 Bug Tracker'!N68</f>
        <v/>
      </c>
      <c r="H68" s="29">
        <f>'06 Bug Tracker'!M68</f>
        <v/>
      </c>
      <c r="I68" s="29">
        <f>IF(A68="","",IF(OR(F68="New",F68="Open",F68="In Progress",F68="Fixed",F68="Retest"),"Yes","No"))</f>
        <v/>
      </c>
      <c r="J68" s="29">
        <f>IF(A68="","",IF(F68="Retest","Fixed — Ready for Retest",IF(F68="Fixed","Fixed — Ready for Retest",IF(F68="In Progress","In Progress",IF(OR(F68="New",F68="Open"),"Queued",IF(F68="Closed","Done",IF(F68="Won't Fix","Won't Fix","")))))))</f>
        <v/>
      </c>
      <c r="K68" s="29" t="inlineStr"/>
      <c r="L68" s="29">
        <f>'06 Bug Tracker'!R68</f>
        <v/>
      </c>
      <c r="M68" s="29">
        <f>'06 Bug Tracker'!N68</f>
        <v/>
      </c>
      <c r="N68" s="29" t="inlineStr"/>
      <c r="O68" s="29" t="inlineStr"/>
    </row>
    <row r="69">
      <c r="A69" s="27">
        <f>'06 Bug Tracker'!A69</f>
        <v/>
      </c>
      <c r="B69" s="27">
        <f>'06 Bug Tracker'!B69</f>
        <v/>
      </c>
      <c r="C69" s="27">
        <f>'06 Bug Tracker'!D69</f>
        <v/>
      </c>
      <c r="D69" s="27">
        <f>'06 Bug Tracker'!J69</f>
        <v/>
      </c>
      <c r="E69" s="27">
        <f>'06 Bug Tracker'!K69</f>
        <v/>
      </c>
      <c r="F69" s="27">
        <f>'06 Bug Tracker'!L69</f>
        <v/>
      </c>
      <c r="G69" s="27">
        <f>'06 Bug Tracker'!N69</f>
        <v/>
      </c>
      <c r="H69" s="27">
        <f>'06 Bug Tracker'!M69</f>
        <v/>
      </c>
      <c r="I69" s="27">
        <f>IF(A69="","",IF(OR(F69="New",F69="Open",F69="In Progress",F69="Fixed",F69="Retest"),"Yes","No"))</f>
        <v/>
      </c>
      <c r="J69" s="27">
        <f>IF(A69="","",IF(F69="Retest","Fixed — Ready for Retest",IF(F69="Fixed","Fixed — Ready for Retest",IF(F69="In Progress","In Progress",IF(OR(F69="New",F69="Open"),"Queued",IF(F69="Closed","Done",IF(F69="Won't Fix","Won't Fix","")))))))</f>
        <v/>
      </c>
      <c r="K69" s="27" t="inlineStr"/>
      <c r="L69" s="27">
        <f>'06 Bug Tracker'!R69</f>
        <v/>
      </c>
      <c r="M69" s="27">
        <f>'06 Bug Tracker'!N69</f>
        <v/>
      </c>
      <c r="N69" s="27" t="inlineStr"/>
      <c r="O69" s="27" t="inlineStr"/>
    </row>
    <row r="70">
      <c r="A70" s="29">
        <f>'06 Bug Tracker'!A70</f>
        <v/>
      </c>
      <c r="B70" s="29">
        <f>'06 Bug Tracker'!B70</f>
        <v/>
      </c>
      <c r="C70" s="29">
        <f>'06 Bug Tracker'!D70</f>
        <v/>
      </c>
      <c r="D70" s="29">
        <f>'06 Bug Tracker'!J70</f>
        <v/>
      </c>
      <c r="E70" s="29">
        <f>'06 Bug Tracker'!K70</f>
        <v/>
      </c>
      <c r="F70" s="29">
        <f>'06 Bug Tracker'!L70</f>
        <v/>
      </c>
      <c r="G70" s="29">
        <f>'06 Bug Tracker'!N70</f>
        <v/>
      </c>
      <c r="H70" s="29">
        <f>'06 Bug Tracker'!M70</f>
        <v/>
      </c>
      <c r="I70" s="29">
        <f>IF(A70="","",IF(OR(F70="New",F70="Open",F70="In Progress",F70="Fixed",F70="Retest"),"Yes","No"))</f>
        <v/>
      </c>
      <c r="J70" s="29">
        <f>IF(A70="","",IF(F70="Retest","Fixed — Ready for Retest",IF(F70="Fixed","Fixed — Ready for Retest",IF(F70="In Progress","In Progress",IF(OR(F70="New",F70="Open"),"Queued",IF(F70="Closed","Done",IF(F70="Won't Fix","Won't Fix","")))))))</f>
        <v/>
      </c>
      <c r="K70" s="29" t="inlineStr"/>
      <c r="L70" s="29">
        <f>'06 Bug Tracker'!R70</f>
        <v/>
      </c>
      <c r="M70" s="29">
        <f>'06 Bug Tracker'!N70</f>
        <v/>
      </c>
      <c r="N70" s="29" t="inlineStr"/>
      <c r="O70" s="29" t="inlineStr"/>
    </row>
    <row r="71">
      <c r="A71" s="27">
        <f>'06 Bug Tracker'!A71</f>
        <v/>
      </c>
      <c r="B71" s="27">
        <f>'06 Bug Tracker'!B71</f>
        <v/>
      </c>
      <c r="C71" s="27">
        <f>'06 Bug Tracker'!D71</f>
        <v/>
      </c>
      <c r="D71" s="27">
        <f>'06 Bug Tracker'!J71</f>
        <v/>
      </c>
      <c r="E71" s="27">
        <f>'06 Bug Tracker'!K71</f>
        <v/>
      </c>
      <c r="F71" s="27">
        <f>'06 Bug Tracker'!L71</f>
        <v/>
      </c>
      <c r="G71" s="27">
        <f>'06 Bug Tracker'!N71</f>
        <v/>
      </c>
      <c r="H71" s="27">
        <f>'06 Bug Tracker'!M71</f>
        <v/>
      </c>
      <c r="I71" s="27">
        <f>IF(A71="","",IF(OR(F71="New",F71="Open",F71="In Progress",F71="Fixed",F71="Retest"),"Yes","No"))</f>
        <v/>
      </c>
      <c r="J71" s="27">
        <f>IF(A71="","",IF(F71="Retest","Fixed — Ready for Retest",IF(F71="Fixed","Fixed — Ready for Retest",IF(F71="In Progress","In Progress",IF(OR(F71="New",F71="Open"),"Queued",IF(F71="Closed","Done",IF(F71="Won't Fix","Won't Fix","")))))))</f>
        <v/>
      </c>
      <c r="K71" s="27" t="inlineStr"/>
      <c r="L71" s="27">
        <f>'06 Bug Tracker'!R71</f>
        <v/>
      </c>
      <c r="M71" s="27">
        <f>'06 Bug Tracker'!N71</f>
        <v/>
      </c>
      <c r="N71" s="27" t="inlineStr"/>
      <c r="O71" s="27" t="inlineStr"/>
    </row>
    <row r="72">
      <c r="A72" s="29">
        <f>'06 Bug Tracker'!A72</f>
        <v/>
      </c>
      <c r="B72" s="29">
        <f>'06 Bug Tracker'!B72</f>
        <v/>
      </c>
      <c r="C72" s="29">
        <f>'06 Bug Tracker'!D72</f>
        <v/>
      </c>
      <c r="D72" s="29">
        <f>'06 Bug Tracker'!J72</f>
        <v/>
      </c>
      <c r="E72" s="29">
        <f>'06 Bug Tracker'!K72</f>
        <v/>
      </c>
      <c r="F72" s="29">
        <f>'06 Bug Tracker'!L72</f>
        <v/>
      </c>
      <c r="G72" s="29">
        <f>'06 Bug Tracker'!N72</f>
        <v/>
      </c>
      <c r="H72" s="29">
        <f>'06 Bug Tracker'!M72</f>
        <v/>
      </c>
      <c r="I72" s="29">
        <f>IF(A72="","",IF(OR(F72="New",F72="Open",F72="In Progress",F72="Fixed",F72="Retest"),"Yes","No"))</f>
        <v/>
      </c>
      <c r="J72" s="29">
        <f>IF(A72="","",IF(F72="Retest","Fixed — Ready for Retest",IF(F72="Fixed","Fixed — Ready for Retest",IF(F72="In Progress","In Progress",IF(OR(F72="New",F72="Open"),"Queued",IF(F72="Closed","Done",IF(F72="Won't Fix","Won't Fix","")))))))</f>
        <v/>
      </c>
      <c r="K72" s="29" t="inlineStr"/>
      <c r="L72" s="29">
        <f>'06 Bug Tracker'!R72</f>
        <v/>
      </c>
      <c r="M72" s="29">
        <f>'06 Bug Tracker'!N72</f>
        <v/>
      </c>
      <c r="N72" s="29" t="inlineStr"/>
      <c r="O72" s="29" t="inlineStr"/>
    </row>
    <row r="73">
      <c r="A73" s="27">
        <f>'06 Bug Tracker'!A73</f>
        <v/>
      </c>
      <c r="B73" s="27">
        <f>'06 Bug Tracker'!B73</f>
        <v/>
      </c>
      <c r="C73" s="27">
        <f>'06 Bug Tracker'!D73</f>
        <v/>
      </c>
      <c r="D73" s="27">
        <f>'06 Bug Tracker'!J73</f>
        <v/>
      </c>
      <c r="E73" s="27">
        <f>'06 Bug Tracker'!K73</f>
        <v/>
      </c>
      <c r="F73" s="27">
        <f>'06 Bug Tracker'!L73</f>
        <v/>
      </c>
      <c r="G73" s="27">
        <f>'06 Bug Tracker'!N73</f>
        <v/>
      </c>
      <c r="H73" s="27">
        <f>'06 Bug Tracker'!M73</f>
        <v/>
      </c>
      <c r="I73" s="27">
        <f>IF(A73="","",IF(OR(F73="New",F73="Open",F73="In Progress",F73="Fixed",F73="Retest"),"Yes","No"))</f>
        <v/>
      </c>
      <c r="J73" s="27">
        <f>IF(A73="","",IF(F73="Retest","Fixed — Ready for Retest",IF(F73="Fixed","Fixed — Ready for Retest",IF(F73="In Progress","In Progress",IF(OR(F73="New",F73="Open"),"Queued",IF(F73="Closed","Done",IF(F73="Won't Fix","Won't Fix","")))))))</f>
        <v/>
      </c>
      <c r="K73" s="27" t="inlineStr"/>
      <c r="L73" s="27">
        <f>'06 Bug Tracker'!R73</f>
        <v/>
      </c>
      <c r="M73" s="27">
        <f>'06 Bug Tracker'!N73</f>
        <v/>
      </c>
      <c r="N73" s="27" t="inlineStr"/>
      <c r="O73" s="27" t="inlineStr"/>
    </row>
    <row r="74">
      <c r="A74" s="29">
        <f>'06 Bug Tracker'!A74</f>
        <v/>
      </c>
      <c r="B74" s="29">
        <f>'06 Bug Tracker'!B74</f>
        <v/>
      </c>
      <c r="C74" s="29">
        <f>'06 Bug Tracker'!D74</f>
        <v/>
      </c>
      <c r="D74" s="29">
        <f>'06 Bug Tracker'!J74</f>
        <v/>
      </c>
      <c r="E74" s="29">
        <f>'06 Bug Tracker'!K74</f>
        <v/>
      </c>
      <c r="F74" s="29">
        <f>'06 Bug Tracker'!L74</f>
        <v/>
      </c>
      <c r="G74" s="29">
        <f>'06 Bug Tracker'!N74</f>
        <v/>
      </c>
      <c r="H74" s="29">
        <f>'06 Bug Tracker'!M74</f>
        <v/>
      </c>
      <c r="I74" s="29">
        <f>IF(A74="","",IF(OR(F74="New",F74="Open",F74="In Progress",F74="Fixed",F74="Retest"),"Yes","No"))</f>
        <v/>
      </c>
      <c r="J74" s="29">
        <f>IF(A74="","",IF(F74="Retest","Fixed — Ready for Retest",IF(F74="Fixed","Fixed — Ready for Retest",IF(F74="In Progress","In Progress",IF(OR(F74="New",F74="Open"),"Queued",IF(F74="Closed","Done",IF(F74="Won't Fix","Won't Fix","")))))))</f>
        <v/>
      </c>
      <c r="K74" s="29" t="inlineStr"/>
      <c r="L74" s="29">
        <f>'06 Bug Tracker'!R74</f>
        <v/>
      </c>
      <c r="M74" s="29">
        <f>'06 Bug Tracker'!N74</f>
        <v/>
      </c>
      <c r="N74" s="29" t="inlineStr"/>
      <c r="O74" s="29" t="inlineStr"/>
    </row>
    <row r="75">
      <c r="A75" s="27">
        <f>'06 Bug Tracker'!A75</f>
        <v/>
      </c>
      <c r="B75" s="27">
        <f>'06 Bug Tracker'!B75</f>
        <v/>
      </c>
      <c r="C75" s="27">
        <f>'06 Bug Tracker'!D75</f>
        <v/>
      </c>
      <c r="D75" s="27">
        <f>'06 Bug Tracker'!J75</f>
        <v/>
      </c>
      <c r="E75" s="27">
        <f>'06 Bug Tracker'!K75</f>
        <v/>
      </c>
      <c r="F75" s="27">
        <f>'06 Bug Tracker'!L75</f>
        <v/>
      </c>
      <c r="G75" s="27">
        <f>'06 Bug Tracker'!N75</f>
        <v/>
      </c>
      <c r="H75" s="27">
        <f>'06 Bug Tracker'!M75</f>
        <v/>
      </c>
      <c r="I75" s="27">
        <f>IF(A75="","",IF(OR(F75="New",F75="Open",F75="In Progress",F75="Fixed",F75="Retest"),"Yes","No"))</f>
        <v/>
      </c>
      <c r="J75" s="27">
        <f>IF(A75="","",IF(F75="Retest","Fixed — Ready for Retest",IF(F75="Fixed","Fixed — Ready for Retest",IF(F75="In Progress","In Progress",IF(OR(F75="New",F75="Open"),"Queued",IF(F75="Closed","Done",IF(F75="Won't Fix","Won't Fix","")))))))</f>
        <v/>
      </c>
      <c r="K75" s="27" t="inlineStr"/>
      <c r="L75" s="27">
        <f>'06 Bug Tracker'!R75</f>
        <v/>
      </c>
      <c r="M75" s="27">
        <f>'06 Bug Tracker'!N75</f>
        <v/>
      </c>
      <c r="N75" s="27" t="inlineStr"/>
      <c r="O75" s="27" t="inlineStr"/>
    </row>
    <row r="76">
      <c r="A76" s="29">
        <f>'06 Bug Tracker'!A76</f>
        <v/>
      </c>
      <c r="B76" s="29">
        <f>'06 Bug Tracker'!B76</f>
        <v/>
      </c>
      <c r="C76" s="29">
        <f>'06 Bug Tracker'!D76</f>
        <v/>
      </c>
      <c r="D76" s="29">
        <f>'06 Bug Tracker'!J76</f>
        <v/>
      </c>
      <c r="E76" s="29">
        <f>'06 Bug Tracker'!K76</f>
        <v/>
      </c>
      <c r="F76" s="29">
        <f>'06 Bug Tracker'!L76</f>
        <v/>
      </c>
      <c r="G76" s="29">
        <f>'06 Bug Tracker'!N76</f>
        <v/>
      </c>
      <c r="H76" s="29">
        <f>'06 Bug Tracker'!M76</f>
        <v/>
      </c>
      <c r="I76" s="29">
        <f>IF(A76="","",IF(OR(F76="New",F76="Open",F76="In Progress",F76="Fixed",F76="Retest"),"Yes","No"))</f>
        <v/>
      </c>
      <c r="J76" s="29">
        <f>IF(A76="","",IF(F76="Retest","Fixed — Ready for Retest",IF(F76="Fixed","Fixed — Ready for Retest",IF(F76="In Progress","In Progress",IF(OR(F76="New",F76="Open"),"Queued",IF(F76="Closed","Done",IF(F76="Won't Fix","Won't Fix","")))))))</f>
        <v/>
      </c>
      <c r="K76" s="29" t="inlineStr"/>
      <c r="L76" s="29">
        <f>'06 Bug Tracker'!R76</f>
        <v/>
      </c>
      <c r="M76" s="29">
        <f>'06 Bug Tracker'!N76</f>
        <v/>
      </c>
      <c r="N76" s="29" t="inlineStr"/>
      <c r="O76" s="29" t="inlineStr"/>
    </row>
    <row r="77">
      <c r="A77" s="27">
        <f>'06 Bug Tracker'!A77</f>
        <v/>
      </c>
      <c r="B77" s="27">
        <f>'06 Bug Tracker'!B77</f>
        <v/>
      </c>
      <c r="C77" s="27">
        <f>'06 Bug Tracker'!D77</f>
        <v/>
      </c>
      <c r="D77" s="27">
        <f>'06 Bug Tracker'!J77</f>
        <v/>
      </c>
      <c r="E77" s="27">
        <f>'06 Bug Tracker'!K77</f>
        <v/>
      </c>
      <c r="F77" s="27">
        <f>'06 Bug Tracker'!L77</f>
        <v/>
      </c>
      <c r="G77" s="27">
        <f>'06 Bug Tracker'!N77</f>
        <v/>
      </c>
      <c r="H77" s="27">
        <f>'06 Bug Tracker'!M77</f>
        <v/>
      </c>
      <c r="I77" s="27">
        <f>IF(A77="","",IF(OR(F77="New",F77="Open",F77="In Progress",F77="Fixed",F77="Retest"),"Yes","No"))</f>
        <v/>
      </c>
      <c r="J77" s="27">
        <f>IF(A77="","",IF(F77="Retest","Fixed — Ready for Retest",IF(F77="Fixed","Fixed — Ready for Retest",IF(F77="In Progress","In Progress",IF(OR(F77="New",F77="Open"),"Queued",IF(F77="Closed","Done",IF(F77="Won't Fix","Won't Fix","")))))))</f>
        <v/>
      </c>
      <c r="K77" s="27" t="inlineStr"/>
      <c r="L77" s="27">
        <f>'06 Bug Tracker'!R77</f>
        <v/>
      </c>
      <c r="M77" s="27">
        <f>'06 Bug Tracker'!N77</f>
        <v/>
      </c>
      <c r="N77" s="27" t="inlineStr"/>
      <c r="O77" s="27" t="inlineStr"/>
    </row>
    <row r="78">
      <c r="A78" s="29">
        <f>'06 Bug Tracker'!A78</f>
        <v/>
      </c>
      <c r="B78" s="29">
        <f>'06 Bug Tracker'!B78</f>
        <v/>
      </c>
      <c r="C78" s="29">
        <f>'06 Bug Tracker'!D78</f>
        <v/>
      </c>
      <c r="D78" s="29">
        <f>'06 Bug Tracker'!J78</f>
        <v/>
      </c>
      <c r="E78" s="29">
        <f>'06 Bug Tracker'!K78</f>
        <v/>
      </c>
      <c r="F78" s="29">
        <f>'06 Bug Tracker'!L78</f>
        <v/>
      </c>
      <c r="G78" s="29">
        <f>'06 Bug Tracker'!N78</f>
        <v/>
      </c>
      <c r="H78" s="29">
        <f>'06 Bug Tracker'!M78</f>
        <v/>
      </c>
      <c r="I78" s="29">
        <f>IF(A78="","",IF(OR(F78="New",F78="Open",F78="In Progress",F78="Fixed",F78="Retest"),"Yes","No"))</f>
        <v/>
      </c>
      <c r="J78" s="29">
        <f>IF(A78="","",IF(F78="Retest","Fixed — Ready for Retest",IF(F78="Fixed","Fixed — Ready for Retest",IF(F78="In Progress","In Progress",IF(OR(F78="New",F78="Open"),"Queued",IF(F78="Closed","Done",IF(F78="Won't Fix","Won't Fix","")))))))</f>
        <v/>
      </c>
      <c r="K78" s="29" t="inlineStr"/>
      <c r="L78" s="29">
        <f>'06 Bug Tracker'!R78</f>
        <v/>
      </c>
      <c r="M78" s="29">
        <f>'06 Bug Tracker'!N78</f>
        <v/>
      </c>
      <c r="N78" s="29" t="inlineStr"/>
      <c r="O78" s="29" t="inlineStr"/>
    </row>
    <row r="79">
      <c r="A79" s="27">
        <f>'06 Bug Tracker'!A79</f>
        <v/>
      </c>
      <c r="B79" s="27">
        <f>'06 Bug Tracker'!B79</f>
        <v/>
      </c>
      <c r="C79" s="27">
        <f>'06 Bug Tracker'!D79</f>
        <v/>
      </c>
      <c r="D79" s="27">
        <f>'06 Bug Tracker'!J79</f>
        <v/>
      </c>
      <c r="E79" s="27">
        <f>'06 Bug Tracker'!K79</f>
        <v/>
      </c>
      <c r="F79" s="27">
        <f>'06 Bug Tracker'!L79</f>
        <v/>
      </c>
      <c r="G79" s="27">
        <f>'06 Bug Tracker'!N79</f>
        <v/>
      </c>
      <c r="H79" s="27">
        <f>'06 Bug Tracker'!M79</f>
        <v/>
      </c>
      <c r="I79" s="27">
        <f>IF(A79="","",IF(OR(F79="New",F79="Open",F79="In Progress",F79="Fixed",F79="Retest"),"Yes","No"))</f>
        <v/>
      </c>
      <c r="J79" s="27">
        <f>IF(A79="","",IF(F79="Retest","Fixed — Ready for Retest",IF(F79="Fixed","Fixed — Ready for Retest",IF(F79="In Progress","In Progress",IF(OR(F79="New",F79="Open"),"Queued",IF(F79="Closed","Done",IF(F79="Won't Fix","Won't Fix","")))))))</f>
        <v/>
      </c>
      <c r="K79" s="27" t="inlineStr"/>
      <c r="L79" s="27">
        <f>'06 Bug Tracker'!R79</f>
        <v/>
      </c>
      <c r="M79" s="27">
        <f>'06 Bug Tracker'!N79</f>
        <v/>
      </c>
      <c r="N79" s="27" t="inlineStr"/>
      <c r="O79" s="27" t="inlineStr"/>
    </row>
    <row r="80">
      <c r="A80" s="29">
        <f>'06 Bug Tracker'!A80</f>
        <v/>
      </c>
      <c r="B80" s="29">
        <f>'06 Bug Tracker'!B80</f>
        <v/>
      </c>
      <c r="C80" s="29">
        <f>'06 Bug Tracker'!D80</f>
        <v/>
      </c>
      <c r="D80" s="29">
        <f>'06 Bug Tracker'!J80</f>
        <v/>
      </c>
      <c r="E80" s="29">
        <f>'06 Bug Tracker'!K80</f>
        <v/>
      </c>
      <c r="F80" s="29">
        <f>'06 Bug Tracker'!L80</f>
        <v/>
      </c>
      <c r="G80" s="29">
        <f>'06 Bug Tracker'!N80</f>
        <v/>
      </c>
      <c r="H80" s="29">
        <f>'06 Bug Tracker'!M80</f>
        <v/>
      </c>
      <c r="I80" s="29">
        <f>IF(A80="","",IF(OR(F80="New",F80="Open",F80="In Progress",F80="Fixed",F80="Retest"),"Yes","No"))</f>
        <v/>
      </c>
      <c r="J80" s="29">
        <f>IF(A80="","",IF(F80="Retest","Fixed — Ready for Retest",IF(F80="Fixed","Fixed — Ready for Retest",IF(F80="In Progress","In Progress",IF(OR(F80="New",F80="Open"),"Queued",IF(F80="Closed","Done",IF(F80="Won't Fix","Won't Fix","")))))))</f>
        <v/>
      </c>
      <c r="K80" s="29" t="inlineStr"/>
      <c r="L80" s="29">
        <f>'06 Bug Tracker'!R80</f>
        <v/>
      </c>
      <c r="M80" s="29">
        <f>'06 Bug Tracker'!N80</f>
        <v/>
      </c>
      <c r="N80" s="29" t="inlineStr"/>
      <c r="O80" s="29" t="inlineStr"/>
    </row>
    <row r="81">
      <c r="A81" s="27">
        <f>'06 Bug Tracker'!A81</f>
        <v/>
      </c>
      <c r="B81" s="27">
        <f>'06 Bug Tracker'!B81</f>
        <v/>
      </c>
      <c r="C81" s="27">
        <f>'06 Bug Tracker'!D81</f>
        <v/>
      </c>
      <c r="D81" s="27">
        <f>'06 Bug Tracker'!J81</f>
        <v/>
      </c>
      <c r="E81" s="27">
        <f>'06 Bug Tracker'!K81</f>
        <v/>
      </c>
      <c r="F81" s="27">
        <f>'06 Bug Tracker'!L81</f>
        <v/>
      </c>
      <c r="G81" s="27">
        <f>'06 Bug Tracker'!N81</f>
        <v/>
      </c>
      <c r="H81" s="27">
        <f>'06 Bug Tracker'!M81</f>
        <v/>
      </c>
      <c r="I81" s="27">
        <f>IF(A81="","",IF(OR(F81="New",F81="Open",F81="In Progress",F81="Fixed",F81="Retest"),"Yes","No"))</f>
        <v/>
      </c>
      <c r="J81" s="27">
        <f>IF(A81="","",IF(F81="Retest","Fixed — Ready for Retest",IF(F81="Fixed","Fixed — Ready for Retest",IF(F81="In Progress","In Progress",IF(OR(F81="New",F81="Open"),"Queued",IF(F81="Closed","Done",IF(F81="Won't Fix","Won't Fix","")))))))</f>
        <v/>
      </c>
      <c r="K81" s="27" t="inlineStr"/>
      <c r="L81" s="27">
        <f>'06 Bug Tracker'!R81</f>
        <v/>
      </c>
      <c r="M81" s="27">
        <f>'06 Bug Tracker'!N81</f>
        <v/>
      </c>
      <c r="N81" s="27" t="inlineStr"/>
      <c r="O81" s="27" t="inlineStr"/>
    </row>
    <row r="82">
      <c r="A82" s="29">
        <f>'06 Bug Tracker'!A82</f>
        <v/>
      </c>
      <c r="B82" s="29">
        <f>'06 Bug Tracker'!B82</f>
        <v/>
      </c>
      <c r="C82" s="29">
        <f>'06 Bug Tracker'!D82</f>
        <v/>
      </c>
      <c r="D82" s="29">
        <f>'06 Bug Tracker'!J82</f>
        <v/>
      </c>
      <c r="E82" s="29">
        <f>'06 Bug Tracker'!K82</f>
        <v/>
      </c>
      <c r="F82" s="29">
        <f>'06 Bug Tracker'!L82</f>
        <v/>
      </c>
      <c r="G82" s="29">
        <f>'06 Bug Tracker'!N82</f>
        <v/>
      </c>
      <c r="H82" s="29">
        <f>'06 Bug Tracker'!M82</f>
        <v/>
      </c>
      <c r="I82" s="29">
        <f>IF(A82="","",IF(OR(F82="New",F82="Open",F82="In Progress",F82="Fixed",F82="Retest"),"Yes","No"))</f>
        <v/>
      </c>
      <c r="J82" s="29">
        <f>IF(A82="","",IF(F82="Retest","Fixed — Ready for Retest",IF(F82="Fixed","Fixed — Ready for Retest",IF(F82="In Progress","In Progress",IF(OR(F82="New",F82="Open"),"Queued",IF(F82="Closed","Done",IF(F82="Won't Fix","Won't Fix","")))))))</f>
        <v/>
      </c>
      <c r="K82" s="29" t="inlineStr"/>
      <c r="L82" s="29">
        <f>'06 Bug Tracker'!R82</f>
        <v/>
      </c>
      <c r="M82" s="29">
        <f>'06 Bug Tracker'!N82</f>
        <v/>
      </c>
      <c r="N82" s="29" t="inlineStr"/>
      <c r="O82" s="29" t="inlineStr"/>
    </row>
    <row r="83">
      <c r="A83" s="27">
        <f>'06 Bug Tracker'!A83</f>
        <v/>
      </c>
      <c r="B83" s="27">
        <f>'06 Bug Tracker'!B83</f>
        <v/>
      </c>
      <c r="C83" s="27">
        <f>'06 Bug Tracker'!D83</f>
        <v/>
      </c>
      <c r="D83" s="27">
        <f>'06 Bug Tracker'!J83</f>
        <v/>
      </c>
      <c r="E83" s="27">
        <f>'06 Bug Tracker'!K83</f>
        <v/>
      </c>
      <c r="F83" s="27">
        <f>'06 Bug Tracker'!L83</f>
        <v/>
      </c>
      <c r="G83" s="27">
        <f>'06 Bug Tracker'!N83</f>
        <v/>
      </c>
      <c r="H83" s="27">
        <f>'06 Bug Tracker'!M83</f>
        <v/>
      </c>
      <c r="I83" s="27">
        <f>IF(A83="","",IF(OR(F83="New",F83="Open",F83="In Progress",F83="Fixed",F83="Retest"),"Yes","No"))</f>
        <v/>
      </c>
      <c r="J83" s="27">
        <f>IF(A83="","",IF(F83="Retest","Fixed — Ready for Retest",IF(F83="Fixed","Fixed — Ready for Retest",IF(F83="In Progress","In Progress",IF(OR(F83="New",F83="Open"),"Queued",IF(F83="Closed","Done",IF(F83="Won't Fix","Won't Fix","")))))))</f>
        <v/>
      </c>
      <c r="K83" s="27" t="inlineStr"/>
      <c r="L83" s="27">
        <f>'06 Bug Tracker'!R83</f>
        <v/>
      </c>
      <c r="M83" s="27">
        <f>'06 Bug Tracker'!N83</f>
        <v/>
      </c>
      <c r="N83" s="27" t="inlineStr"/>
      <c r="O83" s="27" t="inlineStr"/>
    </row>
    <row r="84">
      <c r="A84" s="29">
        <f>'06 Bug Tracker'!A84</f>
        <v/>
      </c>
      <c r="B84" s="29">
        <f>'06 Bug Tracker'!B84</f>
        <v/>
      </c>
      <c r="C84" s="29">
        <f>'06 Bug Tracker'!D84</f>
        <v/>
      </c>
      <c r="D84" s="29">
        <f>'06 Bug Tracker'!J84</f>
        <v/>
      </c>
      <c r="E84" s="29">
        <f>'06 Bug Tracker'!K84</f>
        <v/>
      </c>
      <c r="F84" s="29">
        <f>'06 Bug Tracker'!L84</f>
        <v/>
      </c>
      <c r="G84" s="29">
        <f>'06 Bug Tracker'!N84</f>
        <v/>
      </c>
      <c r="H84" s="29">
        <f>'06 Bug Tracker'!M84</f>
        <v/>
      </c>
      <c r="I84" s="29">
        <f>IF(A84="","",IF(OR(F84="New",F84="Open",F84="In Progress",F84="Fixed",F84="Retest"),"Yes","No"))</f>
        <v/>
      </c>
      <c r="J84" s="29">
        <f>IF(A84="","",IF(F84="Retest","Fixed — Ready for Retest",IF(F84="Fixed","Fixed — Ready for Retest",IF(F84="In Progress","In Progress",IF(OR(F84="New",F84="Open"),"Queued",IF(F84="Closed","Done",IF(F84="Won't Fix","Won't Fix","")))))))</f>
        <v/>
      </c>
      <c r="K84" s="29" t="inlineStr"/>
      <c r="L84" s="29">
        <f>'06 Bug Tracker'!R84</f>
        <v/>
      </c>
      <c r="M84" s="29">
        <f>'06 Bug Tracker'!N84</f>
        <v/>
      </c>
      <c r="N84" s="29" t="inlineStr"/>
      <c r="O84" s="29" t="inlineStr"/>
    </row>
    <row r="85">
      <c r="A85" s="27">
        <f>'06 Bug Tracker'!A85</f>
        <v/>
      </c>
      <c r="B85" s="27">
        <f>'06 Bug Tracker'!B85</f>
        <v/>
      </c>
      <c r="C85" s="27">
        <f>'06 Bug Tracker'!D85</f>
        <v/>
      </c>
      <c r="D85" s="27">
        <f>'06 Bug Tracker'!J85</f>
        <v/>
      </c>
      <c r="E85" s="27">
        <f>'06 Bug Tracker'!K85</f>
        <v/>
      </c>
      <c r="F85" s="27">
        <f>'06 Bug Tracker'!L85</f>
        <v/>
      </c>
      <c r="G85" s="27">
        <f>'06 Bug Tracker'!N85</f>
        <v/>
      </c>
      <c r="H85" s="27">
        <f>'06 Bug Tracker'!M85</f>
        <v/>
      </c>
      <c r="I85" s="27">
        <f>IF(A85="","",IF(OR(F85="New",F85="Open",F85="In Progress",F85="Fixed",F85="Retest"),"Yes","No"))</f>
        <v/>
      </c>
      <c r="J85" s="27">
        <f>IF(A85="","",IF(F85="Retest","Fixed — Ready for Retest",IF(F85="Fixed","Fixed — Ready for Retest",IF(F85="In Progress","In Progress",IF(OR(F85="New",F85="Open"),"Queued",IF(F85="Closed","Done",IF(F85="Won't Fix","Won't Fix","")))))))</f>
        <v/>
      </c>
      <c r="K85" s="27" t="inlineStr"/>
      <c r="L85" s="27">
        <f>'06 Bug Tracker'!R85</f>
        <v/>
      </c>
      <c r="M85" s="27">
        <f>'06 Bug Tracker'!N85</f>
        <v/>
      </c>
      <c r="N85" s="27" t="inlineStr"/>
      <c r="O85" s="27" t="inlineStr"/>
    </row>
    <row r="86">
      <c r="A86" s="29">
        <f>'06 Bug Tracker'!A86</f>
        <v/>
      </c>
      <c r="B86" s="29">
        <f>'06 Bug Tracker'!B86</f>
        <v/>
      </c>
      <c r="C86" s="29">
        <f>'06 Bug Tracker'!D86</f>
        <v/>
      </c>
      <c r="D86" s="29">
        <f>'06 Bug Tracker'!J86</f>
        <v/>
      </c>
      <c r="E86" s="29">
        <f>'06 Bug Tracker'!K86</f>
        <v/>
      </c>
      <c r="F86" s="29">
        <f>'06 Bug Tracker'!L86</f>
        <v/>
      </c>
      <c r="G86" s="29">
        <f>'06 Bug Tracker'!N86</f>
        <v/>
      </c>
      <c r="H86" s="29">
        <f>'06 Bug Tracker'!M86</f>
        <v/>
      </c>
      <c r="I86" s="29">
        <f>IF(A86="","",IF(OR(F86="New",F86="Open",F86="In Progress",F86="Fixed",F86="Retest"),"Yes","No"))</f>
        <v/>
      </c>
      <c r="J86" s="29">
        <f>IF(A86="","",IF(F86="Retest","Fixed — Ready for Retest",IF(F86="Fixed","Fixed — Ready for Retest",IF(F86="In Progress","In Progress",IF(OR(F86="New",F86="Open"),"Queued",IF(F86="Closed","Done",IF(F86="Won't Fix","Won't Fix","")))))))</f>
        <v/>
      </c>
      <c r="K86" s="29" t="inlineStr"/>
      <c r="L86" s="29">
        <f>'06 Bug Tracker'!R86</f>
        <v/>
      </c>
      <c r="M86" s="29">
        <f>'06 Bug Tracker'!N86</f>
        <v/>
      </c>
      <c r="N86" s="29" t="inlineStr"/>
      <c r="O86" s="29" t="inlineStr"/>
    </row>
    <row r="87">
      <c r="A87" s="27">
        <f>'06 Bug Tracker'!A87</f>
        <v/>
      </c>
      <c r="B87" s="27">
        <f>'06 Bug Tracker'!B87</f>
        <v/>
      </c>
      <c r="C87" s="27">
        <f>'06 Bug Tracker'!D87</f>
        <v/>
      </c>
      <c r="D87" s="27">
        <f>'06 Bug Tracker'!J87</f>
        <v/>
      </c>
      <c r="E87" s="27">
        <f>'06 Bug Tracker'!K87</f>
        <v/>
      </c>
      <c r="F87" s="27">
        <f>'06 Bug Tracker'!L87</f>
        <v/>
      </c>
      <c r="G87" s="27">
        <f>'06 Bug Tracker'!N87</f>
        <v/>
      </c>
      <c r="H87" s="27">
        <f>'06 Bug Tracker'!M87</f>
        <v/>
      </c>
      <c r="I87" s="27">
        <f>IF(A87="","",IF(OR(F87="New",F87="Open",F87="In Progress",F87="Fixed",F87="Retest"),"Yes","No"))</f>
        <v/>
      </c>
      <c r="J87" s="27">
        <f>IF(A87="","",IF(F87="Retest","Fixed — Ready for Retest",IF(F87="Fixed","Fixed — Ready for Retest",IF(F87="In Progress","In Progress",IF(OR(F87="New",F87="Open"),"Queued",IF(F87="Closed","Done",IF(F87="Won't Fix","Won't Fix","")))))))</f>
        <v/>
      </c>
      <c r="K87" s="27" t="inlineStr"/>
      <c r="L87" s="27">
        <f>'06 Bug Tracker'!R87</f>
        <v/>
      </c>
      <c r="M87" s="27">
        <f>'06 Bug Tracker'!N87</f>
        <v/>
      </c>
      <c r="N87" s="27" t="inlineStr"/>
      <c r="O87" s="27" t="inlineStr"/>
    </row>
    <row r="88">
      <c r="A88" s="29">
        <f>'06 Bug Tracker'!A88</f>
        <v/>
      </c>
      <c r="B88" s="29">
        <f>'06 Bug Tracker'!B88</f>
        <v/>
      </c>
      <c r="C88" s="29">
        <f>'06 Bug Tracker'!D88</f>
        <v/>
      </c>
      <c r="D88" s="29">
        <f>'06 Bug Tracker'!J88</f>
        <v/>
      </c>
      <c r="E88" s="29">
        <f>'06 Bug Tracker'!K88</f>
        <v/>
      </c>
      <c r="F88" s="29">
        <f>'06 Bug Tracker'!L88</f>
        <v/>
      </c>
      <c r="G88" s="29">
        <f>'06 Bug Tracker'!N88</f>
        <v/>
      </c>
      <c r="H88" s="29">
        <f>'06 Bug Tracker'!M88</f>
        <v/>
      </c>
      <c r="I88" s="29">
        <f>IF(A88="","",IF(OR(F88="New",F88="Open",F88="In Progress",F88="Fixed",F88="Retest"),"Yes","No"))</f>
        <v/>
      </c>
      <c r="J88" s="29">
        <f>IF(A88="","",IF(F88="Retest","Fixed — Ready for Retest",IF(F88="Fixed","Fixed — Ready for Retest",IF(F88="In Progress","In Progress",IF(OR(F88="New",F88="Open"),"Queued",IF(F88="Closed","Done",IF(F88="Won't Fix","Won't Fix","")))))))</f>
        <v/>
      </c>
      <c r="K88" s="29" t="inlineStr"/>
      <c r="L88" s="29">
        <f>'06 Bug Tracker'!R88</f>
        <v/>
      </c>
      <c r="M88" s="29">
        <f>'06 Bug Tracker'!N88</f>
        <v/>
      </c>
      <c r="N88" s="29" t="inlineStr"/>
      <c r="O88" s="29" t="inlineStr"/>
    </row>
    <row r="89">
      <c r="A89" s="27">
        <f>'06 Bug Tracker'!A89</f>
        <v/>
      </c>
      <c r="B89" s="27">
        <f>'06 Bug Tracker'!B89</f>
        <v/>
      </c>
      <c r="C89" s="27">
        <f>'06 Bug Tracker'!D89</f>
        <v/>
      </c>
      <c r="D89" s="27">
        <f>'06 Bug Tracker'!J89</f>
        <v/>
      </c>
      <c r="E89" s="27">
        <f>'06 Bug Tracker'!K89</f>
        <v/>
      </c>
      <c r="F89" s="27">
        <f>'06 Bug Tracker'!L89</f>
        <v/>
      </c>
      <c r="G89" s="27">
        <f>'06 Bug Tracker'!N89</f>
        <v/>
      </c>
      <c r="H89" s="27">
        <f>'06 Bug Tracker'!M89</f>
        <v/>
      </c>
      <c r="I89" s="27">
        <f>IF(A89="","",IF(OR(F89="New",F89="Open",F89="In Progress",F89="Fixed",F89="Retest"),"Yes","No"))</f>
        <v/>
      </c>
      <c r="J89" s="27">
        <f>IF(A89="","",IF(F89="Retest","Fixed — Ready for Retest",IF(F89="Fixed","Fixed — Ready for Retest",IF(F89="In Progress","In Progress",IF(OR(F89="New",F89="Open"),"Queued",IF(F89="Closed","Done",IF(F89="Won't Fix","Won't Fix","")))))))</f>
        <v/>
      </c>
      <c r="K89" s="27" t="inlineStr"/>
      <c r="L89" s="27">
        <f>'06 Bug Tracker'!R89</f>
        <v/>
      </c>
      <c r="M89" s="27">
        <f>'06 Bug Tracker'!N89</f>
        <v/>
      </c>
      <c r="N89" s="27" t="inlineStr"/>
      <c r="O89" s="27" t="inlineStr"/>
    </row>
    <row r="90">
      <c r="A90" s="29">
        <f>'06 Bug Tracker'!A90</f>
        <v/>
      </c>
      <c r="B90" s="29">
        <f>'06 Bug Tracker'!B90</f>
        <v/>
      </c>
      <c r="C90" s="29">
        <f>'06 Bug Tracker'!D90</f>
        <v/>
      </c>
      <c r="D90" s="29">
        <f>'06 Bug Tracker'!J90</f>
        <v/>
      </c>
      <c r="E90" s="29">
        <f>'06 Bug Tracker'!K90</f>
        <v/>
      </c>
      <c r="F90" s="29">
        <f>'06 Bug Tracker'!L90</f>
        <v/>
      </c>
      <c r="G90" s="29">
        <f>'06 Bug Tracker'!N90</f>
        <v/>
      </c>
      <c r="H90" s="29">
        <f>'06 Bug Tracker'!M90</f>
        <v/>
      </c>
      <c r="I90" s="29">
        <f>IF(A90="","",IF(OR(F90="New",F90="Open",F90="In Progress",F90="Fixed",F90="Retest"),"Yes","No"))</f>
        <v/>
      </c>
      <c r="J90" s="29">
        <f>IF(A90="","",IF(F90="Retest","Fixed — Ready for Retest",IF(F90="Fixed","Fixed — Ready for Retest",IF(F90="In Progress","In Progress",IF(OR(F90="New",F90="Open"),"Queued",IF(F90="Closed","Done",IF(F90="Won't Fix","Won't Fix","")))))))</f>
        <v/>
      </c>
      <c r="K90" s="29" t="inlineStr"/>
      <c r="L90" s="29">
        <f>'06 Bug Tracker'!R90</f>
        <v/>
      </c>
      <c r="M90" s="29">
        <f>'06 Bug Tracker'!N90</f>
        <v/>
      </c>
      <c r="N90" s="29" t="inlineStr"/>
      <c r="O90" s="29" t="inlineStr"/>
    </row>
    <row r="91">
      <c r="A91" s="27">
        <f>'06 Bug Tracker'!A91</f>
        <v/>
      </c>
      <c r="B91" s="27">
        <f>'06 Bug Tracker'!B91</f>
        <v/>
      </c>
      <c r="C91" s="27">
        <f>'06 Bug Tracker'!D91</f>
        <v/>
      </c>
      <c r="D91" s="27">
        <f>'06 Bug Tracker'!J91</f>
        <v/>
      </c>
      <c r="E91" s="27">
        <f>'06 Bug Tracker'!K91</f>
        <v/>
      </c>
      <c r="F91" s="27">
        <f>'06 Bug Tracker'!L91</f>
        <v/>
      </c>
      <c r="G91" s="27">
        <f>'06 Bug Tracker'!N91</f>
        <v/>
      </c>
      <c r="H91" s="27">
        <f>'06 Bug Tracker'!M91</f>
        <v/>
      </c>
      <c r="I91" s="27">
        <f>IF(A91="","",IF(OR(F91="New",F91="Open",F91="In Progress",F91="Fixed",F91="Retest"),"Yes","No"))</f>
        <v/>
      </c>
      <c r="J91" s="27">
        <f>IF(A91="","",IF(F91="Retest","Fixed — Ready for Retest",IF(F91="Fixed","Fixed — Ready for Retest",IF(F91="In Progress","In Progress",IF(OR(F91="New",F91="Open"),"Queued",IF(F91="Closed","Done",IF(F91="Won't Fix","Won't Fix","")))))))</f>
        <v/>
      </c>
      <c r="K91" s="27" t="inlineStr"/>
      <c r="L91" s="27">
        <f>'06 Bug Tracker'!R91</f>
        <v/>
      </c>
      <c r="M91" s="27">
        <f>'06 Bug Tracker'!N91</f>
        <v/>
      </c>
      <c r="N91" s="27" t="inlineStr"/>
      <c r="O91" s="27" t="inlineStr"/>
    </row>
    <row r="92">
      <c r="A92" s="29">
        <f>'06 Bug Tracker'!A92</f>
        <v/>
      </c>
      <c r="B92" s="29">
        <f>'06 Bug Tracker'!B92</f>
        <v/>
      </c>
      <c r="C92" s="29">
        <f>'06 Bug Tracker'!D92</f>
        <v/>
      </c>
      <c r="D92" s="29">
        <f>'06 Bug Tracker'!J92</f>
        <v/>
      </c>
      <c r="E92" s="29">
        <f>'06 Bug Tracker'!K92</f>
        <v/>
      </c>
      <c r="F92" s="29">
        <f>'06 Bug Tracker'!L92</f>
        <v/>
      </c>
      <c r="G92" s="29">
        <f>'06 Bug Tracker'!N92</f>
        <v/>
      </c>
      <c r="H92" s="29">
        <f>'06 Bug Tracker'!M92</f>
        <v/>
      </c>
      <c r="I92" s="29">
        <f>IF(A92="","",IF(OR(F92="New",F92="Open",F92="In Progress",F92="Fixed",F92="Retest"),"Yes","No"))</f>
        <v/>
      </c>
      <c r="J92" s="29">
        <f>IF(A92="","",IF(F92="Retest","Fixed — Ready for Retest",IF(F92="Fixed","Fixed — Ready for Retest",IF(F92="In Progress","In Progress",IF(OR(F92="New",F92="Open"),"Queued",IF(F92="Closed","Done",IF(F92="Won't Fix","Won't Fix","")))))))</f>
        <v/>
      </c>
      <c r="K92" s="29" t="inlineStr"/>
      <c r="L92" s="29">
        <f>'06 Bug Tracker'!R92</f>
        <v/>
      </c>
      <c r="M92" s="29">
        <f>'06 Bug Tracker'!N92</f>
        <v/>
      </c>
      <c r="N92" s="29" t="inlineStr"/>
      <c r="O92" s="29" t="inlineStr"/>
    </row>
    <row r="93">
      <c r="A93" s="27">
        <f>'06 Bug Tracker'!A93</f>
        <v/>
      </c>
      <c r="B93" s="27">
        <f>'06 Bug Tracker'!B93</f>
        <v/>
      </c>
      <c r="C93" s="27">
        <f>'06 Bug Tracker'!D93</f>
        <v/>
      </c>
      <c r="D93" s="27">
        <f>'06 Bug Tracker'!J93</f>
        <v/>
      </c>
      <c r="E93" s="27">
        <f>'06 Bug Tracker'!K93</f>
        <v/>
      </c>
      <c r="F93" s="27">
        <f>'06 Bug Tracker'!L93</f>
        <v/>
      </c>
      <c r="G93" s="27">
        <f>'06 Bug Tracker'!N93</f>
        <v/>
      </c>
      <c r="H93" s="27">
        <f>'06 Bug Tracker'!M93</f>
        <v/>
      </c>
      <c r="I93" s="27">
        <f>IF(A93="","",IF(OR(F93="New",F93="Open",F93="In Progress",F93="Fixed",F93="Retest"),"Yes","No"))</f>
        <v/>
      </c>
      <c r="J93" s="27">
        <f>IF(A93="","",IF(F93="Retest","Fixed — Ready for Retest",IF(F93="Fixed","Fixed — Ready for Retest",IF(F93="In Progress","In Progress",IF(OR(F93="New",F93="Open"),"Queued",IF(F93="Closed","Done",IF(F93="Won't Fix","Won't Fix","")))))))</f>
        <v/>
      </c>
      <c r="K93" s="27" t="inlineStr"/>
      <c r="L93" s="27">
        <f>'06 Bug Tracker'!R93</f>
        <v/>
      </c>
      <c r="M93" s="27">
        <f>'06 Bug Tracker'!N93</f>
        <v/>
      </c>
      <c r="N93" s="27" t="inlineStr"/>
      <c r="O93" s="27" t="inlineStr"/>
    </row>
    <row r="94">
      <c r="A94" s="29">
        <f>'06 Bug Tracker'!A94</f>
        <v/>
      </c>
      <c r="B94" s="29">
        <f>'06 Bug Tracker'!B94</f>
        <v/>
      </c>
      <c r="C94" s="29">
        <f>'06 Bug Tracker'!D94</f>
        <v/>
      </c>
      <c r="D94" s="29">
        <f>'06 Bug Tracker'!J94</f>
        <v/>
      </c>
      <c r="E94" s="29">
        <f>'06 Bug Tracker'!K94</f>
        <v/>
      </c>
      <c r="F94" s="29">
        <f>'06 Bug Tracker'!L94</f>
        <v/>
      </c>
      <c r="G94" s="29">
        <f>'06 Bug Tracker'!N94</f>
        <v/>
      </c>
      <c r="H94" s="29">
        <f>'06 Bug Tracker'!M94</f>
        <v/>
      </c>
      <c r="I94" s="29">
        <f>IF(A94="","",IF(OR(F94="New",F94="Open",F94="In Progress",F94="Fixed",F94="Retest"),"Yes","No"))</f>
        <v/>
      </c>
      <c r="J94" s="29">
        <f>IF(A94="","",IF(F94="Retest","Fixed — Ready for Retest",IF(F94="Fixed","Fixed — Ready for Retest",IF(F94="In Progress","In Progress",IF(OR(F94="New",F94="Open"),"Queued",IF(F94="Closed","Done",IF(F94="Won't Fix","Won't Fix","")))))))</f>
        <v/>
      </c>
      <c r="K94" s="29" t="inlineStr"/>
      <c r="L94" s="29">
        <f>'06 Bug Tracker'!R94</f>
        <v/>
      </c>
      <c r="M94" s="29">
        <f>'06 Bug Tracker'!N94</f>
        <v/>
      </c>
      <c r="N94" s="29" t="inlineStr"/>
      <c r="O94" s="29" t="inlineStr"/>
    </row>
    <row r="95">
      <c r="A95" s="27">
        <f>'06 Bug Tracker'!A95</f>
        <v/>
      </c>
      <c r="B95" s="27">
        <f>'06 Bug Tracker'!B95</f>
        <v/>
      </c>
      <c r="C95" s="27">
        <f>'06 Bug Tracker'!D95</f>
        <v/>
      </c>
      <c r="D95" s="27">
        <f>'06 Bug Tracker'!J95</f>
        <v/>
      </c>
      <c r="E95" s="27">
        <f>'06 Bug Tracker'!K95</f>
        <v/>
      </c>
      <c r="F95" s="27">
        <f>'06 Bug Tracker'!L95</f>
        <v/>
      </c>
      <c r="G95" s="27">
        <f>'06 Bug Tracker'!N95</f>
        <v/>
      </c>
      <c r="H95" s="27">
        <f>'06 Bug Tracker'!M95</f>
        <v/>
      </c>
      <c r="I95" s="27">
        <f>IF(A95="","",IF(OR(F95="New",F95="Open",F95="In Progress",F95="Fixed",F95="Retest"),"Yes","No"))</f>
        <v/>
      </c>
      <c r="J95" s="27">
        <f>IF(A95="","",IF(F95="Retest","Fixed — Ready for Retest",IF(F95="Fixed","Fixed — Ready for Retest",IF(F95="In Progress","In Progress",IF(OR(F95="New",F95="Open"),"Queued",IF(F95="Closed","Done",IF(F95="Won't Fix","Won't Fix","")))))))</f>
        <v/>
      </c>
      <c r="K95" s="27" t="inlineStr"/>
      <c r="L95" s="27">
        <f>'06 Bug Tracker'!R95</f>
        <v/>
      </c>
      <c r="M95" s="27">
        <f>'06 Bug Tracker'!N95</f>
        <v/>
      </c>
      <c r="N95" s="27" t="inlineStr"/>
      <c r="O95" s="27" t="inlineStr"/>
    </row>
    <row r="96">
      <c r="A96" s="29">
        <f>'06 Bug Tracker'!A96</f>
        <v/>
      </c>
      <c r="B96" s="29">
        <f>'06 Bug Tracker'!B96</f>
        <v/>
      </c>
      <c r="C96" s="29">
        <f>'06 Bug Tracker'!D96</f>
        <v/>
      </c>
      <c r="D96" s="29">
        <f>'06 Bug Tracker'!J96</f>
        <v/>
      </c>
      <c r="E96" s="29">
        <f>'06 Bug Tracker'!K96</f>
        <v/>
      </c>
      <c r="F96" s="29">
        <f>'06 Bug Tracker'!L96</f>
        <v/>
      </c>
      <c r="G96" s="29">
        <f>'06 Bug Tracker'!N96</f>
        <v/>
      </c>
      <c r="H96" s="29">
        <f>'06 Bug Tracker'!M96</f>
        <v/>
      </c>
      <c r="I96" s="29">
        <f>IF(A96="","",IF(OR(F96="New",F96="Open",F96="In Progress",F96="Fixed",F96="Retest"),"Yes","No"))</f>
        <v/>
      </c>
      <c r="J96" s="29">
        <f>IF(A96="","",IF(F96="Retest","Fixed — Ready for Retest",IF(F96="Fixed","Fixed — Ready for Retest",IF(F96="In Progress","In Progress",IF(OR(F96="New",F96="Open"),"Queued",IF(F96="Closed","Done",IF(F96="Won't Fix","Won't Fix","")))))))</f>
        <v/>
      </c>
      <c r="K96" s="29" t="inlineStr"/>
      <c r="L96" s="29">
        <f>'06 Bug Tracker'!R96</f>
        <v/>
      </c>
      <c r="M96" s="29">
        <f>'06 Bug Tracker'!N96</f>
        <v/>
      </c>
      <c r="N96" s="29" t="inlineStr"/>
      <c r="O96" s="29" t="inlineStr"/>
    </row>
    <row r="97">
      <c r="A97" s="27">
        <f>'06 Bug Tracker'!A97</f>
        <v/>
      </c>
      <c r="B97" s="27">
        <f>'06 Bug Tracker'!B97</f>
        <v/>
      </c>
      <c r="C97" s="27">
        <f>'06 Bug Tracker'!D97</f>
        <v/>
      </c>
      <c r="D97" s="27">
        <f>'06 Bug Tracker'!J97</f>
        <v/>
      </c>
      <c r="E97" s="27">
        <f>'06 Bug Tracker'!K97</f>
        <v/>
      </c>
      <c r="F97" s="27">
        <f>'06 Bug Tracker'!L97</f>
        <v/>
      </c>
      <c r="G97" s="27">
        <f>'06 Bug Tracker'!N97</f>
        <v/>
      </c>
      <c r="H97" s="27">
        <f>'06 Bug Tracker'!M97</f>
        <v/>
      </c>
      <c r="I97" s="27">
        <f>IF(A97="","",IF(OR(F97="New",F97="Open",F97="In Progress",F97="Fixed",F97="Retest"),"Yes","No"))</f>
        <v/>
      </c>
      <c r="J97" s="27">
        <f>IF(A97="","",IF(F97="Retest","Fixed — Ready for Retest",IF(F97="Fixed","Fixed — Ready for Retest",IF(F97="In Progress","In Progress",IF(OR(F97="New",F97="Open"),"Queued",IF(F97="Closed","Done",IF(F97="Won't Fix","Won't Fix","")))))))</f>
        <v/>
      </c>
      <c r="K97" s="27" t="inlineStr"/>
      <c r="L97" s="27">
        <f>'06 Bug Tracker'!R97</f>
        <v/>
      </c>
      <c r="M97" s="27">
        <f>'06 Bug Tracker'!N97</f>
        <v/>
      </c>
      <c r="N97" s="27" t="inlineStr"/>
      <c r="O97" s="27" t="inlineStr"/>
    </row>
    <row r="98">
      <c r="A98" s="29">
        <f>'06 Bug Tracker'!A98</f>
        <v/>
      </c>
      <c r="B98" s="29">
        <f>'06 Bug Tracker'!B98</f>
        <v/>
      </c>
      <c r="C98" s="29">
        <f>'06 Bug Tracker'!D98</f>
        <v/>
      </c>
      <c r="D98" s="29">
        <f>'06 Bug Tracker'!J98</f>
        <v/>
      </c>
      <c r="E98" s="29">
        <f>'06 Bug Tracker'!K98</f>
        <v/>
      </c>
      <c r="F98" s="29">
        <f>'06 Bug Tracker'!L98</f>
        <v/>
      </c>
      <c r="G98" s="29">
        <f>'06 Bug Tracker'!N98</f>
        <v/>
      </c>
      <c r="H98" s="29">
        <f>'06 Bug Tracker'!M98</f>
        <v/>
      </c>
      <c r="I98" s="29">
        <f>IF(A98="","",IF(OR(F98="New",F98="Open",F98="In Progress",F98="Fixed",F98="Retest"),"Yes","No"))</f>
        <v/>
      </c>
      <c r="J98" s="29">
        <f>IF(A98="","",IF(F98="Retest","Fixed — Ready for Retest",IF(F98="Fixed","Fixed — Ready for Retest",IF(F98="In Progress","In Progress",IF(OR(F98="New",F98="Open"),"Queued",IF(F98="Closed","Done",IF(F98="Won't Fix","Won't Fix","")))))))</f>
        <v/>
      </c>
      <c r="K98" s="29" t="inlineStr"/>
      <c r="L98" s="29">
        <f>'06 Bug Tracker'!R98</f>
        <v/>
      </c>
      <c r="M98" s="29">
        <f>'06 Bug Tracker'!N98</f>
        <v/>
      </c>
      <c r="N98" s="29" t="inlineStr"/>
      <c r="O98" s="29" t="inlineStr"/>
    </row>
    <row r="99">
      <c r="A99" s="27">
        <f>'06 Bug Tracker'!A99</f>
        <v/>
      </c>
      <c r="B99" s="27">
        <f>'06 Bug Tracker'!B99</f>
        <v/>
      </c>
      <c r="C99" s="27">
        <f>'06 Bug Tracker'!D99</f>
        <v/>
      </c>
      <c r="D99" s="27">
        <f>'06 Bug Tracker'!J99</f>
        <v/>
      </c>
      <c r="E99" s="27">
        <f>'06 Bug Tracker'!K99</f>
        <v/>
      </c>
      <c r="F99" s="27">
        <f>'06 Bug Tracker'!L99</f>
        <v/>
      </c>
      <c r="G99" s="27">
        <f>'06 Bug Tracker'!N99</f>
        <v/>
      </c>
      <c r="H99" s="27">
        <f>'06 Bug Tracker'!M99</f>
        <v/>
      </c>
      <c r="I99" s="27">
        <f>IF(A99="","",IF(OR(F99="New",F99="Open",F99="In Progress",F99="Fixed",F99="Retest"),"Yes","No"))</f>
        <v/>
      </c>
      <c r="J99" s="27">
        <f>IF(A99="","",IF(F99="Retest","Fixed — Ready for Retest",IF(F99="Fixed","Fixed — Ready for Retest",IF(F99="In Progress","In Progress",IF(OR(F99="New",F99="Open"),"Queued",IF(F99="Closed","Done",IF(F99="Won't Fix","Won't Fix","")))))))</f>
        <v/>
      </c>
      <c r="K99" s="27" t="inlineStr"/>
      <c r="L99" s="27">
        <f>'06 Bug Tracker'!R99</f>
        <v/>
      </c>
      <c r="M99" s="27">
        <f>'06 Bug Tracker'!N99</f>
        <v/>
      </c>
      <c r="N99" s="27" t="inlineStr"/>
      <c r="O99" s="27" t="inlineStr"/>
    </row>
    <row r="100">
      <c r="A100" s="29">
        <f>'06 Bug Tracker'!A100</f>
        <v/>
      </c>
      <c r="B100" s="29">
        <f>'06 Bug Tracker'!B100</f>
        <v/>
      </c>
      <c r="C100" s="29">
        <f>'06 Bug Tracker'!D100</f>
        <v/>
      </c>
      <c r="D100" s="29">
        <f>'06 Bug Tracker'!J100</f>
        <v/>
      </c>
      <c r="E100" s="29">
        <f>'06 Bug Tracker'!K100</f>
        <v/>
      </c>
      <c r="F100" s="29">
        <f>'06 Bug Tracker'!L100</f>
        <v/>
      </c>
      <c r="G100" s="29">
        <f>'06 Bug Tracker'!N100</f>
        <v/>
      </c>
      <c r="H100" s="29">
        <f>'06 Bug Tracker'!M100</f>
        <v/>
      </c>
      <c r="I100" s="29">
        <f>IF(A100="","",IF(OR(F100="New",F100="Open",F100="In Progress",F100="Fixed",F100="Retest"),"Yes","No"))</f>
        <v/>
      </c>
      <c r="J100" s="29">
        <f>IF(A100="","",IF(F100="Retest","Fixed — Ready for Retest",IF(F100="Fixed","Fixed — Ready for Retest",IF(F100="In Progress","In Progress",IF(OR(F100="New",F100="Open"),"Queued",IF(F100="Closed","Done",IF(F100="Won't Fix","Won't Fix","")))))))</f>
        <v/>
      </c>
      <c r="K100" s="29" t="inlineStr"/>
      <c r="L100" s="29">
        <f>'06 Bug Tracker'!R100</f>
        <v/>
      </c>
      <c r="M100" s="29">
        <f>'06 Bug Tracker'!N100</f>
        <v/>
      </c>
      <c r="N100" s="29" t="inlineStr"/>
      <c r="O100" s="29" t="inlineStr"/>
    </row>
    <row r="101">
      <c r="A101" s="27">
        <f>'06 Bug Tracker'!A101</f>
        <v/>
      </c>
      <c r="B101" s="27">
        <f>'06 Bug Tracker'!B101</f>
        <v/>
      </c>
      <c r="C101" s="27">
        <f>'06 Bug Tracker'!D101</f>
        <v/>
      </c>
      <c r="D101" s="27">
        <f>'06 Bug Tracker'!J101</f>
        <v/>
      </c>
      <c r="E101" s="27">
        <f>'06 Bug Tracker'!K101</f>
        <v/>
      </c>
      <c r="F101" s="27">
        <f>'06 Bug Tracker'!L101</f>
        <v/>
      </c>
      <c r="G101" s="27">
        <f>'06 Bug Tracker'!N101</f>
        <v/>
      </c>
      <c r="H101" s="27">
        <f>'06 Bug Tracker'!M101</f>
        <v/>
      </c>
      <c r="I101" s="27">
        <f>IF(A101="","",IF(OR(F101="New",F101="Open",F101="In Progress",F101="Fixed",F101="Retest"),"Yes","No"))</f>
        <v/>
      </c>
      <c r="J101" s="27">
        <f>IF(A101="","",IF(F101="Retest","Fixed — Ready for Retest",IF(F101="Fixed","Fixed — Ready for Retest",IF(F101="In Progress","In Progress",IF(OR(F101="New",F101="Open"),"Queued",IF(F101="Closed","Done",IF(F101="Won't Fix","Won't Fix","")))))))</f>
        <v/>
      </c>
      <c r="K101" s="27" t="inlineStr"/>
      <c r="L101" s="27">
        <f>'06 Bug Tracker'!R101</f>
        <v/>
      </c>
      <c r="M101" s="27">
        <f>'06 Bug Tracker'!N101</f>
        <v/>
      </c>
      <c r="N101" s="27" t="inlineStr"/>
      <c r="O101" s="27" t="inlineStr"/>
    </row>
    <row r="102">
      <c r="A102" s="29">
        <f>'06 Bug Tracker'!A102</f>
        <v/>
      </c>
      <c r="B102" s="29">
        <f>'06 Bug Tracker'!B102</f>
        <v/>
      </c>
      <c r="C102" s="29">
        <f>'06 Bug Tracker'!D102</f>
        <v/>
      </c>
      <c r="D102" s="29">
        <f>'06 Bug Tracker'!J102</f>
        <v/>
      </c>
      <c r="E102" s="29">
        <f>'06 Bug Tracker'!K102</f>
        <v/>
      </c>
      <c r="F102" s="29">
        <f>'06 Bug Tracker'!L102</f>
        <v/>
      </c>
      <c r="G102" s="29">
        <f>'06 Bug Tracker'!N102</f>
        <v/>
      </c>
      <c r="H102" s="29">
        <f>'06 Bug Tracker'!M102</f>
        <v/>
      </c>
      <c r="I102" s="29">
        <f>IF(A102="","",IF(OR(F102="New",F102="Open",F102="In Progress",F102="Fixed",F102="Retest"),"Yes","No"))</f>
        <v/>
      </c>
      <c r="J102" s="29">
        <f>IF(A102="","",IF(F102="Retest","Fixed — Ready for Retest",IF(F102="Fixed","Fixed — Ready for Retest",IF(F102="In Progress","In Progress",IF(OR(F102="New",F102="Open"),"Queued",IF(F102="Closed","Done",IF(F102="Won't Fix","Won't Fix","")))))))</f>
        <v/>
      </c>
      <c r="K102" s="29" t="inlineStr"/>
      <c r="L102" s="29">
        <f>'06 Bug Tracker'!R102</f>
        <v/>
      </c>
      <c r="M102" s="29">
        <f>'06 Bug Tracker'!N102</f>
        <v/>
      </c>
      <c r="N102" s="29" t="inlineStr"/>
      <c r="O102" s="29" t="inlineStr"/>
    </row>
    <row r="103">
      <c r="A103" s="27">
        <f>'06 Bug Tracker'!A103</f>
        <v/>
      </c>
      <c r="B103" s="27">
        <f>'06 Bug Tracker'!B103</f>
        <v/>
      </c>
      <c r="C103" s="27">
        <f>'06 Bug Tracker'!D103</f>
        <v/>
      </c>
      <c r="D103" s="27">
        <f>'06 Bug Tracker'!J103</f>
        <v/>
      </c>
      <c r="E103" s="27">
        <f>'06 Bug Tracker'!K103</f>
        <v/>
      </c>
      <c r="F103" s="27">
        <f>'06 Bug Tracker'!L103</f>
        <v/>
      </c>
      <c r="G103" s="27">
        <f>'06 Bug Tracker'!N103</f>
        <v/>
      </c>
      <c r="H103" s="27">
        <f>'06 Bug Tracker'!M103</f>
        <v/>
      </c>
      <c r="I103" s="27">
        <f>IF(A103="","",IF(OR(F103="New",F103="Open",F103="In Progress",F103="Fixed",F103="Retest"),"Yes","No"))</f>
        <v/>
      </c>
      <c r="J103" s="27">
        <f>IF(A103="","",IF(F103="Retest","Fixed — Ready for Retest",IF(F103="Fixed","Fixed — Ready for Retest",IF(F103="In Progress","In Progress",IF(OR(F103="New",F103="Open"),"Queued",IF(F103="Closed","Done",IF(F103="Won't Fix","Won't Fix","")))))))</f>
        <v/>
      </c>
      <c r="K103" s="27" t="inlineStr"/>
      <c r="L103" s="27">
        <f>'06 Bug Tracker'!R103</f>
        <v/>
      </c>
      <c r="M103" s="27">
        <f>'06 Bug Tracker'!N103</f>
        <v/>
      </c>
      <c r="N103" s="27" t="inlineStr"/>
      <c r="O103" s="27" t="inlineStr"/>
    </row>
    <row r="104">
      <c r="A104" s="29">
        <f>'06 Bug Tracker'!A104</f>
        <v/>
      </c>
      <c r="B104" s="29">
        <f>'06 Bug Tracker'!B104</f>
        <v/>
      </c>
      <c r="C104" s="29">
        <f>'06 Bug Tracker'!D104</f>
        <v/>
      </c>
      <c r="D104" s="29">
        <f>'06 Bug Tracker'!J104</f>
        <v/>
      </c>
      <c r="E104" s="29">
        <f>'06 Bug Tracker'!K104</f>
        <v/>
      </c>
      <c r="F104" s="29">
        <f>'06 Bug Tracker'!L104</f>
        <v/>
      </c>
      <c r="G104" s="29">
        <f>'06 Bug Tracker'!N104</f>
        <v/>
      </c>
      <c r="H104" s="29">
        <f>'06 Bug Tracker'!M104</f>
        <v/>
      </c>
      <c r="I104" s="29">
        <f>IF(A104="","",IF(OR(F104="New",F104="Open",F104="In Progress",F104="Fixed",F104="Retest"),"Yes","No"))</f>
        <v/>
      </c>
      <c r="J104" s="29">
        <f>IF(A104="","",IF(F104="Retest","Fixed — Ready for Retest",IF(F104="Fixed","Fixed — Ready for Retest",IF(F104="In Progress","In Progress",IF(OR(F104="New",F104="Open"),"Queued",IF(F104="Closed","Done",IF(F104="Won't Fix","Won't Fix","")))))))</f>
        <v/>
      </c>
      <c r="K104" s="29" t="inlineStr"/>
      <c r="L104" s="29">
        <f>'06 Bug Tracker'!R104</f>
        <v/>
      </c>
      <c r="M104" s="29">
        <f>'06 Bug Tracker'!N104</f>
        <v/>
      </c>
      <c r="N104" s="29" t="inlineStr"/>
      <c r="O104" s="29" t="inlineStr"/>
    </row>
    <row r="105">
      <c r="A105" s="27">
        <f>'06 Bug Tracker'!A105</f>
        <v/>
      </c>
      <c r="B105" s="27">
        <f>'06 Bug Tracker'!B105</f>
        <v/>
      </c>
      <c r="C105" s="27">
        <f>'06 Bug Tracker'!D105</f>
        <v/>
      </c>
      <c r="D105" s="27">
        <f>'06 Bug Tracker'!J105</f>
        <v/>
      </c>
      <c r="E105" s="27">
        <f>'06 Bug Tracker'!K105</f>
        <v/>
      </c>
      <c r="F105" s="27">
        <f>'06 Bug Tracker'!L105</f>
        <v/>
      </c>
      <c r="G105" s="27">
        <f>'06 Bug Tracker'!N105</f>
        <v/>
      </c>
      <c r="H105" s="27">
        <f>'06 Bug Tracker'!M105</f>
        <v/>
      </c>
      <c r="I105" s="27">
        <f>IF(A105="","",IF(OR(F105="New",F105="Open",F105="In Progress",F105="Fixed",F105="Retest"),"Yes","No"))</f>
        <v/>
      </c>
      <c r="J105" s="27">
        <f>IF(A105="","",IF(F105="Retest","Fixed — Ready for Retest",IF(F105="Fixed","Fixed — Ready for Retest",IF(F105="In Progress","In Progress",IF(OR(F105="New",F105="Open"),"Queued",IF(F105="Closed","Done",IF(F105="Won't Fix","Won't Fix","")))))))</f>
        <v/>
      </c>
      <c r="K105" s="27" t="inlineStr"/>
      <c r="L105" s="27">
        <f>'06 Bug Tracker'!R105</f>
        <v/>
      </c>
      <c r="M105" s="27">
        <f>'06 Bug Tracker'!N105</f>
        <v/>
      </c>
      <c r="N105" s="27" t="inlineStr"/>
      <c r="O105" s="27" t="inlineStr"/>
    </row>
    <row r="106">
      <c r="A106" s="29">
        <f>'06 Bug Tracker'!A106</f>
        <v/>
      </c>
      <c r="B106" s="29">
        <f>'06 Bug Tracker'!B106</f>
        <v/>
      </c>
      <c r="C106" s="29">
        <f>'06 Bug Tracker'!D106</f>
        <v/>
      </c>
      <c r="D106" s="29">
        <f>'06 Bug Tracker'!J106</f>
        <v/>
      </c>
      <c r="E106" s="29">
        <f>'06 Bug Tracker'!K106</f>
        <v/>
      </c>
      <c r="F106" s="29">
        <f>'06 Bug Tracker'!L106</f>
        <v/>
      </c>
      <c r="G106" s="29">
        <f>'06 Bug Tracker'!N106</f>
        <v/>
      </c>
      <c r="H106" s="29">
        <f>'06 Bug Tracker'!M106</f>
        <v/>
      </c>
      <c r="I106" s="29">
        <f>IF(A106="","",IF(OR(F106="New",F106="Open",F106="In Progress",F106="Fixed",F106="Retest"),"Yes","No"))</f>
        <v/>
      </c>
      <c r="J106" s="29">
        <f>IF(A106="","",IF(F106="Retest","Fixed — Ready for Retest",IF(F106="Fixed","Fixed — Ready for Retest",IF(F106="In Progress","In Progress",IF(OR(F106="New",F106="Open"),"Queued",IF(F106="Closed","Done",IF(F106="Won't Fix","Won't Fix","")))))))</f>
        <v/>
      </c>
      <c r="K106" s="29" t="inlineStr"/>
      <c r="L106" s="29">
        <f>'06 Bug Tracker'!R106</f>
        <v/>
      </c>
      <c r="M106" s="29">
        <f>'06 Bug Tracker'!N106</f>
        <v/>
      </c>
      <c r="N106" s="29" t="inlineStr"/>
      <c r="O106" s="29" t="inlineStr"/>
    </row>
    <row r="107">
      <c r="A107" s="27">
        <f>'06 Bug Tracker'!A107</f>
        <v/>
      </c>
      <c r="B107" s="27">
        <f>'06 Bug Tracker'!B107</f>
        <v/>
      </c>
      <c r="C107" s="27">
        <f>'06 Bug Tracker'!D107</f>
        <v/>
      </c>
      <c r="D107" s="27">
        <f>'06 Bug Tracker'!J107</f>
        <v/>
      </c>
      <c r="E107" s="27">
        <f>'06 Bug Tracker'!K107</f>
        <v/>
      </c>
      <c r="F107" s="27">
        <f>'06 Bug Tracker'!L107</f>
        <v/>
      </c>
      <c r="G107" s="27">
        <f>'06 Bug Tracker'!N107</f>
        <v/>
      </c>
      <c r="H107" s="27">
        <f>'06 Bug Tracker'!M107</f>
        <v/>
      </c>
      <c r="I107" s="27">
        <f>IF(A107="","",IF(OR(F107="New",F107="Open",F107="In Progress",F107="Fixed",F107="Retest"),"Yes","No"))</f>
        <v/>
      </c>
      <c r="J107" s="27">
        <f>IF(A107="","",IF(F107="Retest","Fixed — Ready for Retest",IF(F107="Fixed","Fixed — Ready for Retest",IF(F107="In Progress","In Progress",IF(OR(F107="New",F107="Open"),"Queued",IF(F107="Closed","Done",IF(F107="Won't Fix","Won't Fix","")))))))</f>
        <v/>
      </c>
      <c r="K107" s="27" t="inlineStr"/>
      <c r="L107" s="27">
        <f>'06 Bug Tracker'!R107</f>
        <v/>
      </c>
      <c r="M107" s="27">
        <f>'06 Bug Tracker'!N107</f>
        <v/>
      </c>
      <c r="N107" s="27" t="inlineStr"/>
      <c r="O107" s="27" t="inlineStr"/>
    </row>
    <row r="108">
      <c r="A108" s="29">
        <f>'06 Bug Tracker'!A108</f>
        <v/>
      </c>
      <c r="B108" s="29">
        <f>'06 Bug Tracker'!B108</f>
        <v/>
      </c>
      <c r="C108" s="29">
        <f>'06 Bug Tracker'!D108</f>
        <v/>
      </c>
      <c r="D108" s="29">
        <f>'06 Bug Tracker'!J108</f>
        <v/>
      </c>
      <c r="E108" s="29">
        <f>'06 Bug Tracker'!K108</f>
        <v/>
      </c>
      <c r="F108" s="29">
        <f>'06 Bug Tracker'!L108</f>
        <v/>
      </c>
      <c r="G108" s="29">
        <f>'06 Bug Tracker'!N108</f>
        <v/>
      </c>
      <c r="H108" s="29">
        <f>'06 Bug Tracker'!M108</f>
        <v/>
      </c>
      <c r="I108" s="29">
        <f>IF(A108="","",IF(OR(F108="New",F108="Open",F108="In Progress",F108="Fixed",F108="Retest"),"Yes","No"))</f>
        <v/>
      </c>
      <c r="J108" s="29">
        <f>IF(A108="","",IF(F108="Retest","Fixed — Ready for Retest",IF(F108="Fixed","Fixed — Ready for Retest",IF(F108="In Progress","In Progress",IF(OR(F108="New",F108="Open"),"Queued",IF(F108="Closed","Done",IF(F108="Won't Fix","Won't Fix","")))))))</f>
        <v/>
      </c>
      <c r="K108" s="29" t="inlineStr"/>
      <c r="L108" s="29">
        <f>'06 Bug Tracker'!R108</f>
        <v/>
      </c>
      <c r="M108" s="29">
        <f>'06 Bug Tracker'!N108</f>
        <v/>
      </c>
      <c r="N108" s="29" t="inlineStr"/>
      <c r="O108" s="29" t="inlineStr"/>
    </row>
    <row r="109">
      <c r="A109" s="27">
        <f>'06 Bug Tracker'!A109</f>
        <v/>
      </c>
      <c r="B109" s="27">
        <f>'06 Bug Tracker'!B109</f>
        <v/>
      </c>
      <c r="C109" s="27">
        <f>'06 Bug Tracker'!D109</f>
        <v/>
      </c>
      <c r="D109" s="27">
        <f>'06 Bug Tracker'!J109</f>
        <v/>
      </c>
      <c r="E109" s="27">
        <f>'06 Bug Tracker'!K109</f>
        <v/>
      </c>
      <c r="F109" s="27">
        <f>'06 Bug Tracker'!L109</f>
        <v/>
      </c>
      <c r="G109" s="27">
        <f>'06 Bug Tracker'!N109</f>
        <v/>
      </c>
      <c r="H109" s="27">
        <f>'06 Bug Tracker'!M109</f>
        <v/>
      </c>
      <c r="I109" s="27">
        <f>IF(A109="","",IF(OR(F109="New",F109="Open",F109="In Progress",F109="Fixed",F109="Retest"),"Yes","No"))</f>
        <v/>
      </c>
      <c r="J109" s="27">
        <f>IF(A109="","",IF(F109="Retest","Fixed — Ready for Retest",IF(F109="Fixed","Fixed — Ready for Retest",IF(F109="In Progress","In Progress",IF(OR(F109="New",F109="Open"),"Queued",IF(F109="Closed","Done",IF(F109="Won't Fix","Won't Fix","")))))))</f>
        <v/>
      </c>
      <c r="K109" s="27" t="inlineStr"/>
      <c r="L109" s="27">
        <f>'06 Bug Tracker'!R109</f>
        <v/>
      </c>
      <c r="M109" s="27">
        <f>'06 Bug Tracker'!N109</f>
        <v/>
      </c>
      <c r="N109" s="27" t="inlineStr"/>
      <c r="O109" s="27" t="inlineStr"/>
    </row>
    <row r="110">
      <c r="A110" s="29">
        <f>'06 Bug Tracker'!A110</f>
        <v/>
      </c>
      <c r="B110" s="29">
        <f>'06 Bug Tracker'!B110</f>
        <v/>
      </c>
      <c r="C110" s="29">
        <f>'06 Bug Tracker'!D110</f>
        <v/>
      </c>
      <c r="D110" s="29">
        <f>'06 Bug Tracker'!J110</f>
        <v/>
      </c>
      <c r="E110" s="29">
        <f>'06 Bug Tracker'!K110</f>
        <v/>
      </c>
      <c r="F110" s="29">
        <f>'06 Bug Tracker'!L110</f>
        <v/>
      </c>
      <c r="G110" s="29">
        <f>'06 Bug Tracker'!N110</f>
        <v/>
      </c>
      <c r="H110" s="29">
        <f>'06 Bug Tracker'!M110</f>
        <v/>
      </c>
      <c r="I110" s="29">
        <f>IF(A110="","",IF(OR(F110="New",F110="Open",F110="In Progress",F110="Fixed",F110="Retest"),"Yes","No"))</f>
        <v/>
      </c>
      <c r="J110" s="29">
        <f>IF(A110="","",IF(F110="Retest","Fixed — Ready for Retest",IF(F110="Fixed","Fixed — Ready for Retest",IF(F110="In Progress","In Progress",IF(OR(F110="New",F110="Open"),"Queued",IF(F110="Closed","Done",IF(F110="Won't Fix","Won't Fix","")))))))</f>
        <v/>
      </c>
      <c r="K110" s="29" t="inlineStr"/>
      <c r="L110" s="29">
        <f>'06 Bug Tracker'!R110</f>
        <v/>
      </c>
      <c r="M110" s="29">
        <f>'06 Bug Tracker'!N110</f>
        <v/>
      </c>
      <c r="N110" s="29" t="inlineStr"/>
      <c r="O110" s="29" t="inlineStr"/>
    </row>
    <row r="111">
      <c r="A111" s="27">
        <f>'06 Bug Tracker'!A111</f>
        <v/>
      </c>
      <c r="B111" s="27">
        <f>'06 Bug Tracker'!B111</f>
        <v/>
      </c>
      <c r="C111" s="27">
        <f>'06 Bug Tracker'!D111</f>
        <v/>
      </c>
      <c r="D111" s="27">
        <f>'06 Bug Tracker'!J111</f>
        <v/>
      </c>
      <c r="E111" s="27">
        <f>'06 Bug Tracker'!K111</f>
        <v/>
      </c>
      <c r="F111" s="27">
        <f>'06 Bug Tracker'!L111</f>
        <v/>
      </c>
      <c r="G111" s="27">
        <f>'06 Bug Tracker'!N111</f>
        <v/>
      </c>
      <c r="H111" s="27">
        <f>'06 Bug Tracker'!M111</f>
        <v/>
      </c>
      <c r="I111" s="27">
        <f>IF(A111="","",IF(OR(F111="New",F111="Open",F111="In Progress",F111="Fixed",F111="Retest"),"Yes","No"))</f>
        <v/>
      </c>
      <c r="J111" s="27">
        <f>IF(A111="","",IF(F111="Retest","Fixed — Ready for Retest",IF(F111="Fixed","Fixed — Ready for Retest",IF(F111="In Progress","In Progress",IF(OR(F111="New",F111="Open"),"Queued",IF(F111="Closed","Done",IF(F111="Won't Fix","Won't Fix","")))))))</f>
        <v/>
      </c>
      <c r="K111" s="27" t="inlineStr"/>
      <c r="L111" s="27">
        <f>'06 Bug Tracker'!R111</f>
        <v/>
      </c>
      <c r="M111" s="27">
        <f>'06 Bug Tracker'!N111</f>
        <v/>
      </c>
      <c r="N111" s="27" t="inlineStr"/>
      <c r="O111" s="27" t="inlineStr"/>
    </row>
    <row r="112">
      <c r="A112" s="29">
        <f>'06 Bug Tracker'!A112</f>
        <v/>
      </c>
      <c r="B112" s="29">
        <f>'06 Bug Tracker'!B112</f>
        <v/>
      </c>
      <c r="C112" s="29">
        <f>'06 Bug Tracker'!D112</f>
        <v/>
      </c>
      <c r="D112" s="29">
        <f>'06 Bug Tracker'!J112</f>
        <v/>
      </c>
      <c r="E112" s="29">
        <f>'06 Bug Tracker'!K112</f>
        <v/>
      </c>
      <c r="F112" s="29">
        <f>'06 Bug Tracker'!L112</f>
        <v/>
      </c>
      <c r="G112" s="29">
        <f>'06 Bug Tracker'!N112</f>
        <v/>
      </c>
      <c r="H112" s="29">
        <f>'06 Bug Tracker'!M112</f>
        <v/>
      </c>
      <c r="I112" s="29">
        <f>IF(A112="","",IF(OR(F112="New",F112="Open",F112="In Progress",F112="Fixed",F112="Retest"),"Yes","No"))</f>
        <v/>
      </c>
      <c r="J112" s="29">
        <f>IF(A112="","",IF(F112="Retest","Fixed — Ready for Retest",IF(F112="Fixed","Fixed — Ready for Retest",IF(F112="In Progress","In Progress",IF(OR(F112="New",F112="Open"),"Queued",IF(F112="Closed","Done",IF(F112="Won't Fix","Won't Fix","")))))))</f>
        <v/>
      </c>
      <c r="K112" s="29" t="inlineStr"/>
      <c r="L112" s="29">
        <f>'06 Bug Tracker'!R112</f>
        <v/>
      </c>
      <c r="M112" s="29">
        <f>'06 Bug Tracker'!N112</f>
        <v/>
      </c>
      <c r="N112" s="29" t="inlineStr"/>
      <c r="O112" s="29" t="inlineStr"/>
    </row>
    <row r="113">
      <c r="A113" s="27">
        <f>'06 Bug Tracker'!A113</f>
        <v/>
      </c>
      <c r="B113" s="27">
        <f>'06 Bug Tracker'!B113</f>
        <v/>
      </c>
      <c r="C113" s="27">
        <f>'06 Bug Tracker'!D113</f>
        <v/>
      </c>
      <c r="D113" s="27">
        <f>'06 Bug Tracker'!J113</f>
        <v/>
      </c>
      <c r="E113" s="27">
        <f>'06 Bug Tracker'!K113</f>
        <v/>
      </c>
      <c r="F113" s="27">
        <f>'06 Bug Tracker'!L113</f>
        <v/>
      </c>
      <c r="G113" s="27">
        <f>'06 Bug Tracker'!N113</f>
        <v/>
      </c>
      <c r="H113" s="27">
        <f>'06 Bug Tracker'!M113</f>
        <v/>
      </c>
      <c r="I113" s="27">
        <f>IF(A113="","",IF(OR(F113="New",F113="Open",F113="In Progress",F113="Fixed",F113="Retest"),"Yes","No"))</f>
        <v/>
      </c>
      <c r="J113" s="27">
        <f>IF(A113="","",IF(F113="Retest","Fixed — Ready for Retest",IF(F113="Fixed","Fixed — Ready for Retest",IF(F113="In Progress","In Progress",IF(OR(F113="New",F113="Open"),"Queued",IF(F113="Closed","Done",IF(F113="Won't Fix","Won't Fix","")))))))</f>
        <v/>
      </c>
      <c r="K113" s="27" t="inlineStr"/>
      <c r="L113" s="27">
        <f>'06 Bug Tracker'!R113</f>
        <v/>
      </c>
      <c r="M113" s="27">
        <f>'06 Bug Tracker'!N113</f>
        <v/>
      </c>
      <c r="N113" s="27" t="inlineStr"/>
      <c r="O113" s="27" t="inlineStr"/>
    </row>
    <row r="114">
      <c r="A114" s="29">
        <f>'06 Bug Tracker'!A114</f>
        <v/>
      </c>
      <c r="B114" s="29">
        <f>'06 Bug Tracker'!B114</f>
        <v/>
      </c>
      <c r="C114" s="29">
        <f>'06 Bug Tracker'!D114</f>
        <v/>
      </c>
      <c r="D114" s="29">
        <f>'06 Bug Tracker'!J114</f>
        <v/>
      </c>
      <c r="E114" s="29">
        <f>'06 Bug Tracker'!K114</f>
        <v/>
      </c>
      <c r="F114" s="29">
        <f>'06 Bug Tracker'!L114</f>
        <v/>
      </c>
      <c r="G114" s="29">
        <f>'06 Bug Tracker'!N114</f>
        <v/>
      </c>
      <c r="H114" s="29">
        <f>'06 Bug Tracker'!M114</f>
        <v/>
      </c>
      <c r="I114" s="29">
        <f>IF(A114="","",IF(OR(F114="New",F114="Open",F114="In Progress",F114="Fixed",F114="Retest"),"Yes","No"))</f>
        <v/>
      </c>
      <c r="J114" s="29">
        <f>IF(A114="","",IF(F114="Retest","Fixed — Ready for Retest",IF(F114="Fixed","Fixed — Ready for Retest",IF(F114="In Progress","In Progress",IF(OR(F114="New",F114="Open"),"Queued",IF(F114="Closed","Done",IF(F114="Won't Fix","Won't Fix","")))))))</f>
        <v/>
      </c>
      <c r="K114" s="29" t="inlineStr"/>
      <c r="L114" s="29">
        <f>'06 Bug Tracker'!R114</f>
        <v/>
      </c>
      <c r="M114" s="29">
        <f>'06 Bug Tracker'!N114</f>
        <v/>
      </c>
      <c r="N114" s="29" t="inlineStr"/>
      <c r="O114" s="29" t="inlineStr"/>
    </row>
    <row r="115">
      <c r="A115" s="27">
        <f>'06 Bug Tracker'!A115</f>
        <v/>
      </c>
      <c r="B115" s="27">
        <f>'06 Bug Tracker'!B115</f>
        <v/>
      </c>
      <c r="C115" s="27">
        <f>'06 Bug Tracker'!D115</f>
        <v/>
      </c>
      <c r="D115" s="27">
        <f>'06 Bug Tracker'!J115</f>
        <v/>
      </c>
      <c r="E115" s="27">
        <f>'06 Bug Tracker'!K115</f>
        <v/>
      </c>
      <c r="F115" s="27">
        <f>'06 Bug Tracker'!L115</f>
        <v/>
      </c>
      <c r="G115" s="27">
        <f>'06 Bug Tracker'!N115</f>
        <v/>
      </c>
      <c r="H115" s="27">
        <f>'06 Bug Tracker'!M115</f>
        <v/>
      </c>
      <c r="I115" s="27">
        <f>IF(A115="","",IF(OR(F115="New",F115="Open",F115="In Progress",F115="Fixed",F115="Retest"),"Yes","No"))</f>
        <v/>
      </c>
      <c r="J115" s="27">
        <f>IF(A115="","",IF(F115="Retest","Fixed — Ready for Retest",IF(F115="Fixed","Fixed — Ready for Retest",IF(F115="In Progress","In Progress",IF(OR(F115="New",F115="Open"),"Queued",IF(F115="Closed","Done",IF(F115="Won't Fix","Won't Fix","")))))))</f>
        <v/>
      </c>
      <c r="K115" s="27" t="inlineStr"/>
      <c r="L115" s="27">
        <f>'06 Bug Tracker'!R115</f>
        <v/>
      </c>
      <c r="M115" s="27">
        <f>'06 Bug Tracker'!N115</f>
        <v/>
      </c>
      <c r="N115" s="27" t="inlineStr"/>
      <c r="O115" s="27" t="inlineStr"/>
    </row>
    <row r="116">
      <c r="A116" s="29">
        <f>'06 Bug Tracker'!A116</f>
        <v/>
      </c>
      <c r="B116" s="29">
        <f>'06 Bug Tracker'!B116</f>
        <v/>
      </c>
      <c r="C116" s="29">
        <f>'06 Bug Tracker'!D116</f>
        <v/>
      </c>
      <c r="D116" s="29">
        <f>'06 Bug Tracker'!J116</f>
        <v/>
      </c>
      <c r="E116" s="29">
        <f>'06 Bug Tracker'!K116</f>
        <v/>
      </c>
      <c r="F116" s="29">
        <f>'06 Bug Tracker'!L116</f>
        <v/>
      </c>
      <c r="G116" s="29">
        <f>'06 Bug Tracker'!N116</f>
        <v/>
      </c>
      <c r="H116" s="29">
        <f>'06 Bug Tracker'!M116</f>
        <v/>
      </c>
      <c r="I116" s="29">
        <f>IF(A116="","",IF(OR(F116="New",F116="Open",F116="In Progress",F116="Fixed",F116="Retest"),"Yes","No"))</f>
        <v/>
      </c>
      <c r="J116" s="29">
        <f>IF(A116="","",IF(F116="Retest","Fixed — Ready for Retest",IF(F116="Fixed","Fixed — Ready for Retest",IF(F116="In Progress","In Progress",IF(OR(F116="New",F116="Open"),"Queued",IF(F116="Closed","Done",IF(F116="Won't Fix","Won't Fix","")))))))</f>
        <v/>
      </c>
      <c r="K116" s="29" t="inlineStr"/>
      <c r="L116" s="29">
        <f>'06 Bug Tracker'!R116</f>
        <v/>
      </c>
      <c r="M116" s="29">
        <f>'06 Bug Tracker'!N116</f>
        <v/>
      </c>
      <c r="N116" s="29" t="inlineStr"/>
      <c r="O116" s="29" t="inlineStr"/>
    </row>
    <row r="117">
      <c r="A117" s="27">
        <f>'06 Bug Tracker'!A117</f>
        <v/>
      </c>
      <c r="B117" s="27">
        <f>'06 Bug Tracker'!B117</f>
        <v/>
      </c>
      <c r="C117" s="27">
        <f>'06 Bug Tracker'!D117</f>
        <v/>
      </c>
      <c r="D117" s="27">
        <f>'06 Bug Tracker'!J117</f>
        <v/>
      </c>
      <c r="E117" s="27">
        <f>'06 Bug Tracker'!K117</f>
        <v/>
      </c>
      <c r="F117" s="27">
        <f>'06 Bug Tracker'!L117</f>
        <v/>
      </c>
      <c r="G117" s="27">
        <f>'06 Bug Tracker'!N117</f>
        <v/>
      </c>
      <c r="H117" s="27">
        <f>'06 Bug Tracker'!M117</f>
        <v/>
      </c>
      <c r="I117" s="27">
        <f>IF(A117="","",IF(OR(F117="New",F117="Open",F117="In Progress",F117="Fixed",F117="Retest"),"Yes","No"))</f>
        <v/>
      </c>
      <c r="J117" s="27">
        <f>IF(A117="","",IF(F117="Retest","Fixed — Ready for Retest",IF(F117="Fixed","Fixed — Ready for Retest",IF(F117="In Progress","In Progress",IF(OR(F117="New",F117="Open"),"Queued",IF(F117="Closed","Done",IF(F117="Won't Fix","Won't Fix","")))))))</f>
        <v/>
      </c>
      <c r="K117" s="27" t="inlineStr"/>
      <c r="L117" s="27">
        <f>'06 Bug Tracker'!R117</f>
        <v/>
      </c>
      <c r="M117" s="27">
        <f>'06 Bug Tracker'!N117</f>
        <v/>
      </c>
      <c r="N117" s="27" t="inlineStr"/>
      <c r="O117" s="27" t="inlineStr"/>
    </row>
    <row r="118">
      <c r="A118" s="29">
        <f>'06 Bug Tracker'!A118</f>
        <v/>
      </c>
      <c r="B118" s="29">
        <f>'06 Bug Tracker'!B118</f>
        <v/>
      </c>
      <c r="C118" s="29">
        <f>'06 Bug Tracker'!D118</f>
        <v/>
      </c>
      <c r="D118" s="29">
        <f>'06 Bug Tracker'!J118</f>
        <v/>
      </c>
      <c r="E118" s="29">
        <f>'06 Bug Tracker'!K118</f>
        <v/>
      </c>
      <c r="F118" s="29">
        <f>'06 Bug Tracker'!L118</f>
        <v/>
      </c>
      <c r="G118" s="29">
        <f>'06 Bug Tracker'!N118</f>
        <v/>
      </c>
      <c r="H118" s="29">
        <f>'06 Bug Tracker'!M118</f>
        <v/>
      </c>
      <c r="I118" s="29">
        <f>IF(A118="","",IF(OR(F118="New",F118="Open",F118="In Progress",F118="Fixed",F118="Retest"),"Yes","No"))</f>
        <v/>
      </c>
      <c r="J118" s="29">
        <f>IF(A118="","",IF(F118="Retest","Fixed — Ready for Retest",IF(F118="Fixed","Fixed — Ready for Retest",IF(F118="In Progress","In Progress",IF(OR(F118="New",F118="Open"),"Queued",IF(F118="Closed","Done",IF(F118="Won't Fix","Won't Fix","")))))))</f>
        <v/>
      </c>
      <c r="K118" s="29" t="inlineStr"/>
      <c r="L118" s="29">
        <f>'06 Bug Tracker'!R118</f>
        <v/>
      </c>
      <c r="M118" s="29">
        <f>'06 Bug Tracker'!N118</f>
        <v/>
      </c>
      <c r="N118" s="29" t="inlineStr"/>
      <c r="O118" s="29" t="inlineStr"/>
    </row>
    <row r="119">
      <c r="A119" s="27">
        <f>'06 Bug Tracker'!A119</f>
        <v/>
      </c>
      <c r="B119" s="27">
        <f>'06 Bug Tracker'!B119</f>
        <v/>
      </c>
      <c r="C119" s="27">
        <f>'06 Bug Tracker'!D119</f>
        <v/>
      </c>
      <c r="D119" s="27">
        <f>'06 Bug Tracker'!J119</f>
        <v/>
      </c>
      <c r="E119" s="27">
        <f>'06 Bug Tracker'!K119</f>
        <v/>
      </c>
      <c r="F119" s="27">
        <f>'06 Bug Tracker'!L119</f>
        <v/>
      </c>
      <c r="G119" s="27">
        <f>'06 Bug Tracker'!N119</f>
        <v/>
      </c>
      <c r="H119" s="27">
        <f>'06 Bug Tracker'!M119</f>
        <v/>
      </c>
      <c r="I119" s="27">
        <f>IF(A119="","",IF(OR(F119="New",F119="Open",F119="In Progress",F119="Fixed",F119="Retest"),"Yes","No"))</f>
        <v/>
      </c>
      <c r="J119" s="27">
        <f>IF(A119="","",IF(F119="Retest","Fixed — Ready for Retest",IF(F119="Fixed","Fixed — Ready for Retest",IF(F119="In Progress","In Progress",IF(OR(F119="New",F119="Open"),"Queued",IF(F119="Closed","Done",IF(F119="Won't Fix","Won't Fix","")))))))</f>
        <v/>
      </c>
      <c r="K119" s="27" t="inlineStr"/>
      <c r="L119" s="27">
        <f>'06 Bug Tracker'!R119</f>
        <v/>
      </c>
      <c r="M119" s="27">
        <f>'06 Bug Tracker'!N119</f>
        <v/>
      </c>
      <c r="N119" s="27" t="inlineStr"/>
      <c r="O119" s="27" t="inlineStr"/>
    </row>
    <row r="120">
      <c r="A120" s="29">
        <f>'06 Bug Tracker'!A120</f>
        <v/>
      </c>
      <c r="B120" s="29">
        <f>'06 Bug Tracker'!B120</f>
        <v/>
      </c>
      <c r="C120" s="29">
        <f>'06 Bug Tracker'!D120</f>
        <v/>
      </c>
      <c r="D120" s="29">
        <f>'06 Bug Tracker'!J120</f>
        <v/>
      </c>
      <c r="E120" s="29">
        <f>'06 Bug Tracker'!K120</f>
        <v/>
      </c>
      <c r="F120" s="29">
        <f>'06 Bug Tracker'!L120</f>
        <v/>
      </c>
      <c r="G120" s="29">
        <f>'06 Bug Tracker'!N120</f>
        <v/>
      </c>
      <c r="H120" s="29">
        <f>'06 Bug Tracker'!M120</f>
        <v/>
      </c>
      <c r="I120" s="29">
        <f>IF(A120="","",IF(OR(F120="New",F120="Open",F120="In Progress",F120="Fixed",F120="Retest"),"Yes","No"))</f>
        <v/>
      </c>
      <c r="J120" s="29">
        <f>IF(A120="","",IF(F120="Retest","Fixed — Ready for Retest",IF(F120="Fixed","Fixed — Ready for Retest",IF(F120="In Progress","In Progress",IF(OR(F120="New",F120="Open"),"Queued",IF(F120="Closed","Done",IF(F120="Won't Fix","Won't Fix","")))))))</f>
        <v/>
      </c>
      <c r="K120" s="29" t="inlineStr"/>
      <c r="L120" s="29">
        <f>'06 Bug Tracker'!R120</f>
        <v/>
      </c>
      <c r="M120" s="29">
        <f>'06 Bug Tracker'!N120</f>
        <v/>
      </c>
      <c r="N120" s="29" t="inlineStr"/>
      <c r="O120" s="29" t="inlineStr"/>
    </row>
    <row r="121">
      <c r="A121" s="27">
        <f>'06 Bug Tracker'!A121</f>
        <v/>
      </c>
      <c r="B121" s="27">
        <f>'06 Bug Tracker'!B121</f>
        <v/>
      </c>
      <c r="C121" s="27">
        <f>'06 Bug Tracker'!D121</f>
        <v/>
      </c>
      <c r="D121" s="27">
        <f>'06 Bug Tracker'!J121</f>
        <v/>
      </c>
      <c r="E121" s="27">
        <f>'06 Bug Tracker'!K121</f>
        <v/>
      </c>
      <c r="F121" s="27">
        <f>'06 Bug Tracker'!L121</f>
        <v/>
      </c>
      <c r="G121" s="27">
        <f>'06 Bug Tracker'!N121</f>
        <v/>
      </c>
      <c r="H121" s="27">
        <f>'06 Bug Tracker'!M121</f>
        <v/>
      </c>
      <c r="I121" s="27">
        <f>IF(A121="","",IF(OR(F121="New",F121="Open",F121="In Progress",F121="Fixed",F121="Retest"),"Yes","No"))</f>
        <v/>
      </c>
      <c r="J121" s="27">
        <f>IF(A121="","",IF(F121="Retest","Fixed — Ready for Retest",IF(F121="Fixed","Fixed — Ready for Retest",IF(F121="In Progress","In Progress",IF(OR(F121="New",F121="Open"),"Queued",IF(F121="Closed","Done",IF(F121="Won't Fix","Won't Fix","")))))))</f>
        <v/>
      </c>
      <c r="K121" s="27" t="inlineStr"/>
      <c r="L121" s="27">
        <f>'06 Bug Tracker'!R121</f>
        <v/>
      </c>
      <c r="M121" s="27">
        <f>'06 Bug Tracker'!N121</f>
        <v/>
      </c>
      <c r="N121" s="27" t="inlineStr"/>
      <c r="O121" s="27" t="inlineStr"/>
    </row>
    <row r="122">
      <c r="A122" s="29">
        <f>'06 Bug Tracker'!A122</f>
        <v/>
      </c>
      <c r="B122" s="29">
        <f>'06 Bug Tracker'!B122</f>
        <v/>
      </c>
      <c r="C122" s="29">
        <f>'06 Bug Tracker'!D122</f>
        <v/>
      </c>
      <c r="D122" s="29">
        <f>'06 Bug Tracker'!J122</f>
        <v/>
      </c>
      <c r="E122" s="29">
        <f>'06 Bug Tracker'!K122</f>
        <v/>
      </c>
      <c r="F122" s="29">
        <f>'06 Bug Tracker'!L122</f>
        <v/>
      </c>
      <c r="G122" s="29">
        <f>'06 Bug Tracker'!N122</f>
        <v/>
      </c>
      <c r="H122" s="29">
        <f>'06 Bug Tracker'!M122</f>
        <v/>
      </c>
      <c r="I122" s="29">
        <f>IF(A122="","",IF(OR(F122="New",F122="Open",F122="In Progress",F122="Fixed",F122="Retest"),"Yes","No"))</f>
        <v/>
      </c>
      <c r="J122" s="29">
        <f>IF(A122="","",IF(F122="Retest","Fixed — Ready for Retest",IF(F122="Fixed","Fixed — Ready for Retest",IF(F122="In Progress","In Progress",IF(OR(F122="New",F122="Open"),"Queued",IF(F122="Closed","Done",IF(F122="Won't Fix","Won't Fix","")))))))</f>
        <v/>
      </c>
      <c r="K122" s="29" t="inlineStr"/>
      <c r="L122" s="29">
        <f>'06 Bug Tracker'!R122</f>
        <v/>
      </c>
      <c r="M122" s="29">
        <f>'06 Bug Tracker'!N122</f>
        <v/>
      </c>
      <c r="N122" s="29" t="inlineStr"/>
      <c r="O122" s="29" t="inlineStr"/>
    </row>
    <row r="123">
      <c r="A123" s="27">
        <f>'06 Bug Tracker'!A123</f>
        <v/>
      </c>
      <c r="B123" s="27">
        <f>'06 Bug Tracker'!B123</f>
        <v/>
      </c>
      <c r="C123" s="27">
        <f>'06 Bug Tracker'!D123</f>
        <v/>
      </c>
      <c r="D123" s="27">
        <f>'06 Bug Tracker'!J123</f>
        <v/>
      </c>
      <c r="E123" s="27">
        <f>'06 Bug Tracker'!K123</f>
        <v/>
      </c>
      <c r="F123" s="27">
        <f>'06 Bug Tracker'!L123</f>
        <v/>
      </c>
      <c r="G123" s="27">
        <f>'06 Bug Tracker'!N123</f>
        <v/>
      </c>
      <c r="H123" s="27">
        <f>'06 Bug Tracker'!M123</f>
        <v/>
      </c>
      <c r="I123" s="27">
        <f>IF(A123="","",IF(OR(F123="New",F123="Open",F123="In Progress",F123="Fixed",F123="Retest"),"Yes","No"))</f>
        <v/>
      </c>
      <c r="J123" s="27">
        <f>IF(A123="","",IF(F123="Retest","Fixed — Ready for Retest",IF(F123="Fixed","Fixed — Ready for Retest",IF(F123="In Progress","In Progress",IF(OR(F123="New",F123="Open"),"Queued",IF(F123="Closed","Done",IF(F123="Won't Fix","Won't Fix","")))))))</f>
        <v/>
      </c>
      <c r="K123" s="27" t="inlineStr"/>
      <c r="L123" s="27">
        <f>'06 Bug Tracker'!R123</f>
        <v/>
      </c>
      <c r="M123" s="27">
        <f>'06 Bug Tracker'!N123</f>
        <v/>
      </c>
      <c r="N123" s="27" t="inlineStr"/>
      <c r="O123" s="27" t="inlineStr"/>
    </row>
    <row r="124">
      <c r="A124" s="29">
        <f>'06 Bug Tracker'!A124</f>
        <v/>
      </c>
      <c r="B124" s="29">
        <f>'06 Bug Tracker'!B124</f>
        <v/>
      </c>
      <c r="C124" s="29">
        <f>'06 Bug Tracker'!D124</f>
        <v/>
      </c>
      <c r="D124" s="29">
        <f>'06 Bug Tracker'!J124</f>
        <v/>
      </c>
      <c r="E124" s="29">
        <f>'06 Bug Tracker'!K124</f>
        <v/>
      </c>
      <c r="F124" s="29">
        <f>'06 Bug Tracker'!L124</f>
        <v/>
      </c>
      <c r="G124" s="29">
        <f>'06 Bug Tracker'!N124</f>
        <v/>
      </c>
      <c r="H124" s="29">
        <f>'06 Bug Tracker'!M124</f>
        <v/>
      </c>
      <c r="I124" s="29">
        <f>IF(A124="","",IF(OR(F124="New",F124="Open",F124="In Progress",F124="Fixed",F124="Retest"),"Yes","No"))</f>
        <v/>
      </c>
      <c r="J124" s="29">
        <f>IF(A124="","",IF(F124="Retest","Fixed — Ready for Retest",IF(F124="Fixed","Fixed — Ready for Retest",IF(F124="In Progress","In Progress",IF(OR(F124="New",F124="Open"),"Queued",IF(F124="Closed","Done",IF(F124="Won't Fix","Won't Fix","")))))))</f>
        <v/>
      </c>
      <c r="K124" s="29" t="inlineStr"/>
      <c r="L124" s="29">
        <f>'06 Bug Tracker'!R124</f>
        <v/>
      </c>
      <c r="M124" s="29">
        <f>'06 Bug Tracker'!N124</f>
        <v/>
      </c>
      <c r="N124" s="29" t="inlineStr"/>
      <c r="O124" s="29" t="inlineStr"/>
    </row>
    <row r="125">
      <c r="A125" s="27">
        <f>'06 Bug Tracker'!A125</f>
        <v/>
      </c>
      <c r="B125" s="27">
        <f>'06 Bug Tracker'!B125</f>
        <v/>
      </c>
      <c r="C125" s="27">
        <f>'06 Bug Tracker'!D125</f>
        <v/>
      </c>
      <c r="D125" s="27">
        <f>'06 Bug Tracker'!J125</f>
        <v/>
      </c>
      <c r="E125" s="27">
        <f>'06 Bug Tracker'!K125</f>
        <v/>
      </c>
      <c r="F125" s="27">
        <f>'06 Bug Tracker'!L125</f>
        <v/>
      </c>
      <c r="G125" s="27">
        <f>'06 Bug Tracker'!N125</f>
        <v/>
      </c>
      <c r="H125" s="27">
        <f>'06 Bug Tracker'!M125</f>
        <v/>
      </c>
      <c r="I125" s="27">
        <f>IF(A125="","",IF(OR(F125="New",F125="Open",F125="In Progress",F125="Fixed",F125="Retest"),"Yes","No"))</f>
        <v/>
      </c>
      <c r="J125" s="27">
        <f>IF(A125="","",IF(F125="Retest","Fixed — Ready for Retest",IF(F125="Fixed","Fixed — Ready for Retest",IF(F125="In Progress","In Progress",IF(OR(F125="New",F125="Open"),"Queued",IF(F125="Closed","Done",IF(F125="Won't Fix","Won't Fix","")))))))</f>
        <v/>
      </c>
      <c r="K125" s="27" t="inlineStr"/>
      <c r="L125" s="27">
        <f>'06 Bug Tracker'!R125</f>
        <v/>
      </c>
      <c r="M125" s="27">
        <f>'06 Bug Tracker'!N125</f>
        <v/>
      </c>
      <c r="N125" s="27" t="inlineStr"/>
      <c r="O125" s="27" t="inlineStr"/>
    </row>
    <row r="126">
      <c r="A126" s="29">
        <f>'06 Bug Tracker'!A126</f>
        <v/>
      </c>
      <c r="B126" s="29">
        <f>'06 Bug Tracker'!B126</f>
        <v/>
      </c>
      <c r="C126" s="29">
        <f>'06 Bug Tracker'!D126</f>
        <v/>
      </c>
      <c r="D126" s="29">
        <f>'06 Bug Tracker'!J126</f>
        <v/>
      </c>
      <c r="E126" s="29">
        <f>'06 Bug Tracker'!K126</f>
        <v/>
      </c>
      <c r="F126" s="29">
        <f>'06 Bug Tracker'!L126</f>
        <v/>
      </c>
      <c r="G126" s="29">
        <f>'06 Bug Tracker'!N126</f>
        <v/>
      </c>
      <c r="H126" s="29">
        <f>'06 Bug Tracker'!M126</f>
        <v/>
      </c>
      <c r="I126" s="29">
        <f>IF(A126="","",IF(OR(F126="New",F126="Open",F126="In Progress",F126="Fixed",F126="Retest"),"Yes","No"))</f>
        <v/>
      </c>
      <c r="J126" s="29">
        <f>IF(A126="","",IF(F126="Retest","Fixed — Ready for Retest",IF(F126="Fixed","Fixed — Ready for Retest",IF(F126="In Progress","In Progress",IF(OR(F126="New",F126="Open"),"Queued",IF(F126="Closed","Done",IF(F126="Won't Fix","Won't Fix","")))))))</f>
        <v/>
      </c>
      <c r="K126" s="29" t="inlineStr"/>
      <c r="L126" s="29">
        <f>'06 Bug Tracker'!R126</f>
        <v/>
      </c>
      <c r="M126" s="29">
        <f>'06 Bug Tracker'!N126</f>
        <v/>
      </c>
      <c r="N126" s="29" t="inlineStr"/>
      <c r="O126" s="29" t="inlineStr"/>
    </row>
    <row r="127">
      <c r="A127" s="27">
        <f>'06 Bug Tracker'!A127</f>
        <v/>
      </c>
      <c r="B127" s="27">
        <f>'06 Bug Tracker'!B127</f>
        <v/>
      </c>
      <c r="C127" s="27">
        <f>'06 Bug Tracker'!D127</f>
        <v/>
      </c>
      <c r="D127" s="27">
        <f>'06 Bug Tracker'!J127</f>
        <v/>
      </c>
      <c r="E127" s="27">
        <f>'06 Bug Tracker'!K127</f>
        <v/>
      </c>
      <c r="F127" s="27">
        <f>'06 Bug Tracker'!L127</f>
        <v/>
      </c>
      <c r="G127" s="27">
        <f>'06 Bug Tracker'!N127</f>
        <v/>
      </c>
      <c r="H127" s="27">
        <f>'06 Bug Tracker'!M127</f>
        <v/>
      </c>
      <c r="I127" s="27">
        <f>IF(A127="","",IF(OR(F127="New",F127="Open",F127="In Progress",F127="Fixed",F127="Retest"),"Yes","No"))</f>
        <v/>
      </c>
      <c r="J127" s="27">
        <f>IF(A127="","",IF(F127="Retest","Fixed — Ready for Retest",IF(F127="Fixed","Fixed — Ready for Retest",IF(F127="In Progress","In Progress",IF(OR(F127="New",F127="Open"),"Queued",IF(F127="Closed","Done",IF(F127="Won't Fix","Won't Fix","")))))))</f>
        <v/>
      </c>
      <c r="K127" s="27" t="inlineStr"/>
      <c r="L127" s="27">
        <f>'06 Bug Tracker'!R127</f>
        <v/>
      </c>
      <c r="M127" s="27">
        <f>'06 Bug Tracker'!N127</f>
        <v/>
      </c>
      <c r="N127" s="27" t="inlineStr"/>
      <c r="O127" s="27" t="inlineStr"/>
    </row>
    <row r="128">
      <c r="A128" s="29">
        <f>'06 Bug Tracker'!A128</f>
        <v/>
      </c>
      <c r="B128" s="29">
        <f>'06 Bug Tracker'!B128</f>
        <v/>
      </c>
      <c r="C128" s="29">
        <f>'06 Bug Tracker'!D128</f>
        <v/>
      </c>
      <c r="D128" s="29">
        <f>'06 Bug Tracker'!J128</f>
        <v/>
      </c>
      <c r="E128" s="29">
        <f>'06 Bug Tracker'!K128</f>
        <v/>
      </c>
      <c r="F128" s="29">
        <f>'06 Bug Tracker'!L128</f>
        <v/>
      </c>
      <c r="G128" s="29">
        <f>'06 Bug Tracker'!N128</f>
        <v/>
      </c>
      <c r="H128" s="29">
        <f>'06 Bug Tracker'!M128</f>
        <v/>
      </c>
      <c r="I128" s="29">
        <f>IF(A128="","",IF(OR(F128="New",F128="Open",F128="In Progress",F128="Fixed",F128="Retest"),"Yes","No"))</f>
        <v/>
      </c>
      <c r="J128" s="29">
        <f>IF(A128="","",IF(F128="Retest","Fixed — Ready for Retest",IF(F128="Fixed","Fixed — Ready for Retest",IF(F128="In Progress","In Progress",IF(OR(F128="New",F128="Open"),"Queued",IF(F128="Closed","Done",IF(F128="Won't Fix","Won't Fix","")))))))</f>
        <v/>
      </c>
      <c r="K128" s="29" t="inlineStr"/>
      <c r="L128" s="29">
        <f>'06 Bug Tracker'!R128</f>
        <v/>
      </c>
      <c r="M128" s="29">
        <f>'06 Bug Tracker'!N128</f>
        <v/>
      </c>
      <c r="N128" s="29" t="inlineStr"/>
      <c r="O128" s="29" t="inlineStr"/>
    </row>
    <row r="129">
      <c r="A129" s="27">
        <f>'06 Bug Tracker'!A129</f>
        <v/>
      </c>
      <c r="B129" s="27">
        <f>'06 Bug Tracker'!B129</f>
        <v/>
      </c>
      <c r="C129" s="27">
        <f>'06 Bug Tracker'!D129</f>
        <v/>
      </c>
      <c r="D129" s="27">
        <f>'06 Bug Tracker'!J129</f>
        <v/>
      </c>
      <c r="E129" s="27">
        <f>'06 Bug Tracker'!K129</f>
        <v/>
      </c>
      <c r="F129" s="27">
        <f>'06 Bug Tracker'!L129</f>
        <v/>
      </c>
      <c r="G129" s="27">
        <f>'06 Bug Tracker'!N129</f>
        <v/>
      </c>
      <c r="H129" s="27">
        <f>'06 Bug Tracker'!M129</f>
        <v/>
      </c>
      <c r="I129" s="27">
        <f>IF(A129="","",IF(OR(F129="New",F129="Open",F129="In Progress",F129="Fixed",F129="Retest"),"Yes","No"))</f>
        <v/>
      </c>
      <c r="J129" s="27">
        <f>IF(A129="","",IF(F129="Retest","Fixed — Ready for Retest",IF(F129="Fixed","Fixed — Ready for Retest",IF(F129="In Progress","In Progress",IF(OR(F129="New",F129="Open"),"Queued",IF(F129="Closed","Done",IF(F129="Won't Fix","Won't Fix","")))))))</f>
        <v/>
      </c>
      <c r="K129" s="27" t="inlineStr"/>
      <c r="L129" s="27">
        <f>'06 Bug Tracker'!R129</f>
        <v/>
      </c>
      <c r="M129" s="27">
        <f>'06 Bug Tracker'!N129</f>
        <v/>
      </c>
      <c r="N129" s="27" t="inlineStr"/>
      <c r="O129" s="27" t="inlineStr"/>
    </row>
    <row r="130">
      <c r="A130" s="29">
        <f>'06 Bug Tracker'!A130</f>
        <v/>
      </c>
      <c r="B130" s="29">
        <f>'06 Bug Tracker'!B130</f>
        <v/>
      </c>
      <c r="C130" s="29">
        <f>'06 Bug Tracker'!D130</f>
        <v/>
      </c>
      <c r="D130" s="29">
        <f>'06 Bug Tracker'!J130</f>
        <v/>
      </c>
      <c r="E130" s="29">
        <f>'06 Bug Tracker'!K130</f>
        <v/>
      </c>
      <c r="F130" s="29">
        <f>'06 Bug Tracker'!L130</f>
        <v/>
      </c>
      <c r="G130" s="29">
        <f>'06 Bug Tracker'!N130</f>
        <v/>
      </c>
      <c r="H130" s="29">
        <f>'06 Bug Tracker'!M130</f>
        <v/>
      </c>
      <c r="I130" s="29">
        <f>IF(A130="","",IF(OR(F130="New",F130="Open",F130="In Progress",F130="Fixed",F130="Retest"),"Yes","No"))</f>
        <v/>
      </c>
      <c r="J130" s="29">
        <f>IF(A130="","",IF(F130="Retest","Fixed — Ready for Retest",IF(F130="Fixed","Fixed — Ready for Retest",IF(F130="In Progress","In Progress",IF(OR(F130="New",F130="Open"),"Queued",IF(F130="Closed","Done",IF(F130="Won't Fix","Won't Fix","")))))))</f>
        <v/>
      </c>
      <c r="K130" s="29" t="inlineStr"/>
      <c r="L130" s="29">
        <f>'06 Bug Tracker'!R130</f>
        <v/>
      </c>
      <c r="M130" s="29">
        <f>'06 Bug Tracker'!N130</f>
        <v/>
      </c>
      <c r="N130" s="29" t="inlineStr"/>
      <c r="O130" s="29" t="inlineStr"/>
    </row>
    <row r="131">
      <c r="A131" s="27">
        <f>'06 Bug Tracker'!A131</f>
        <v/>
      </c>
      <c r="B131" s="27">
        <f>'06 Bug Tracker'!B131</f>
        <v/>
      </c>
      <c r="C131" s="27">
        <f>'06 Bug Tracker'!D131</f>
        <v/>
      </c>
      <c r="D131" s="27">
        <f>'06 Bug Tracker'!J131</f>
        <v/>
      </c>
      <c r="E131" s="27">
        <f>'06 Bug Tracker'!K131</f>
        <v/>
      </c>
      <c r="F131" s="27">
        <f>'06 Bug Tracker'!L131</f>
        <v/>
      </c>
      <c r="G131" s="27">
        <f>'06 Bug Tracker'!N131</f>
        <v/>
      </c>
      <c r="H131" s="27">
        <f>'06 Bug Tracker'!M131</f>
        <v/>
      </c>
      <c r="I131" s="27">
        <f>IF(A131="","",IF(OR(F131="New",F131="Open",F131="In Progress",F131="Fixed",F131="Retest"),"Yes","No"))</f>
        <v/>
      </c>
      <c r="J131" s="27">
        <f>IF(A131="","",IF(F131="Retest","Fixed — Ready for Retest",IF(F131="Fixed","Fixed — Ready for Retest",IF(F131="In Progress","In Progress",IF(OR(F131="New",F131="Open"),"Queued",IF(F131="Closed","Done",IF(F131="Won't Fix","Won't Fix","")))))))</f>
        <v/>
      </c>
      <c r="K131" s="27" t="inlineStr"/>
      <c r="L131" s="27">
        <f>'06 Bug Tracker'!R131</f>
        <v/>
      </c>
      <c r="M131" s="27">
        <f>'06 Bug Tracker'!N131</f>
        <v/>
      </c>
      <c r="N131" s="27" t="inlineStr"/>
      <c r="O131" s="27" t="inlineStr"/>
    </row>
    <row r="132">
      <c r="A132" s="29">
        <f>'06 Bug Tracker'!A132</f>
        <v/>
      </c>
      <c r="B132" s="29">
        <f>'06 Bug Tracker'!B132</f>
        <v/>
      </c>
      <c r="C132" s="29">
        <f>'06 Bug Tracker'!D132</f>
        <v/>
      </c>
      <c r="D132" s="29">
        <f>'06 Bug Tracker'!J132</f>
        <v/>
      </c>
      <c r="E132" s="29">
        <f>'06 Bug Tracker'!K132</f>
        <v/>
      </c>
      <c r="F132" s="29">
        <f>'06 Bug Tracker'!L132</f>
        <v/>
      </c>
      <c r="G132" s="29">
        <f>'06 Bug Tracker'!N132</f>
        <v/>
      </c>
      <c r="H132" s="29">
        <f>'06 Bug Tracker'!M132</f>
        <v/>
      </c>
      <c r="I132" s="29">
        <f>IF(A132="","",IF(OR(F132="New",F132="Open",F132="In Progress",F132="Fixed",F132="Retest"),"Yes","No"))</f>
        <v/>
      </c>
      <c r="J132" s="29">
        <f>IF(A132="","",IF(F132="Retest","Fixed — Ready for Retest",IF(F132="Fixed","Fixed — Ready for Retest",IF(F132="In Progress","In Progress",IF(OR(F132="New",F132="Open"),"Queued",IF(F132="Closed","Done",IF(F132="Won't Fix","Won't Fix","")))))))</f>
        <v/>
      </c>
      <c r="K132" s="29" t="inlineStr"/>
      <c r="L132" s="29">
        <f>'06 Bug Tracker'!R132</f>
        <v/>
      </c>
      <c r="M132" s="29">
        <f>'06 Bug Tracker'!N132</f>
        <v/>
      </c>
      <c r="N132" s="29" t="inlineStr"/>
      <c r="O132" s="29" t="inlineStr"/>
    </row>
    <row r="133">
      <c r="A133" s="27">
        <f>'06 Bug Tracker'!A133</f>
        <v/>
      </c>
      <c r="B133" s="27">
        <f>'06 Bug Tracker'!B133</f>
        <v/>
      </c>
      <c r="C133" s="27">
        <f>'06 Bug Tracker'!D133</f>
        <v/>
      </c>
      <c r="D133" s="27">
        <f>'06 Bug Tracker'!J133</f>
        <v/>
      </c>
      <c r="E133" s="27">
        <f>'06 Bug Tracker'!K133</f>
        <v/>
      </c>
      <c r="F133" s="27">
        <f>'06 Bug Tracker'!L133</f>
        <v/>
      </c>
      <c r="G133" s="27">
        <f>'06 Bug Tracker'!N133</f>
        <v/>
      </c>
      <c r="H133" s="27">
        <f>'06 Bug Tracker'!M133</f>
        <v/>
      </c>
      <c r="I133" s="27">
        <f>IF(A133="","",IF(OR(F133="New",F133="Open",F133="In Progress",F133="Fixed",F133="Retest"),"Yes","No"))</f>
        <v/>
      </c>
      <c r="J133" s="27">
        <f>IF(A133="","",IF(F133="Retest","Fixed — Ready for Retest",IF(F133="Fixed","Fixed — Ready for Retest",IF(F133="In Progress","In Progress",IF(OR(F133="New",F133="Open"),"Queued",IF(F133="Closed","Done",IF(F133="Won't Fix","Won't Fix","")))))))</f>
        <v/>
      </c>
      <c r="K133" s="27" t="inlineStr"/>
      <c r="L133" s="27">
        <f>'06 Bug Tracker'!R133</f>
        <v/>
      </c>
      <c r="M133" s="27">
        <f>'06 Bug Tracker'!N133</f>
        <v/>
      </c>
      <c r="N133" s="27" t="inlineStr"/>
      <c r="O133" s="27" t="inlineStr"/>
    </row>
    <row r="134">
      <c r="A134" s="29">
        <f>'06 Bug Tracker'!A134</f>
        <v/>
      </c>
      <c r="B134" s="29">
        <f>'06 Bug Tracker'!B134</f>
        <v/>
      </c>
      <c r="C134" s="29">
        <f>'06 Bug Tracker'!D134</f>
        <v/>
      </c>
      <c r="D134" s="29">
        <f>'06 Bug Tracker'!J134</f>
        <v/>
      </c>
      <c r="E134" s="29">
        <f>'06 Bug Tracker'!K134</f>
        <v/>
      </c>
      <c r="F134" s="29">
        <f>'06 Bug Tracker'!L134</f>
        <v/>
      </c>
      <c r="G134" s="29">
        <f>'06 Bug Tracker'!N134</f>
        <v/>
      </c>
      <c r="H134" s="29">
        <f>'06 Bug Tracker'!M134</f>
        <v/>
      </c>
      <c r="I134" s="29">
        <f>IF(A134="","",IF(OR(F134="New",F134="Open",F134="In Progress",F134="Fixed",F134="Retest"),"Yes","No"))</f>
        <v/>
      </c>
      <c r="J134" s="29">
        <f>IF(A134="","",IF(F134="Retest","Fixed — Ready for Retest",IF(F134="Fixed","Fixed — Ready for Retest",IF(F134="In Progress","In Progress",IF(OR(F134="New",F134="Open"),"Queued",IF(F134="Closed","Done",IF(F134="Won't Fix","Won't Fix","")))))))</f>
        <v/>
      </c>
      <c r="K134" s="29" t="inlineStr"/>
      <c r="L134" s="29">
        <f>'06 Bug Tracker'!R134</f>
        <v/>
      </c>
      <c r="M134" s="29">
        <f>'06 Bug Tracker'!N134</f>
        <v/>
      </c>
      <c r="N134" s="29" t="inlineStr"/>
      <c r="O134" s="29" t="inlineStr"/>
    </row>
    <row r="135">
      <c r="A135" s="27">
        <f>'06 Bug Tracker'!A135</f>
        <v/>
      </c>
      <c r="B135" s="27">
        <f>'06 Bug Tracker'!B135</f>
        <v/>
      </c>
      <c r="C135" s="27">
        <f>'06 Bug Tracker'!D135</f>
        <v/>
      </c>
      <c r="D135" s="27">
        <f>'06 Bug Tracker'!J135</f>
        <v/>
      </c>
      <c r="E135" s="27">
        <f>'06 Bug Tracker'!K135</f>
        <v/>
      </c>
      <c r="F135" s="27">
        <f>'06 Bug Tracker'!L135</f>
        <v/>
      </c>
      <c r="G135" s="27">
        <f>'06 Bug Tracker'!N135</f>
        <v/>
      </c>
      <c r="H135" s="27">
        <f>'06 Bug Tracker'!M135</f>
        <v/>
      </c>
      <c r="I135" s="27">
        <f>IF(A135="","",IF(OR(F135="New",F135="Open",F135="In Progress",F135="Fixed",F135="Retest"),"Yes","No"))</f>
        <v/>
      </c>
      <c r="J135" s="27">
        <f>IF(A135="","",IF(F135="Retest","Fixed — Ready for Retest",IF(F135="Fixed","Fixed — Ready for Retest",IF(F135="In Progress","In Progress",IF(OR(F135="New",F135="Open"),"Queued",IF(F135="Closed","Done",IF(F135="Won't Fix","Won't Fix","")))))))</f>
        <v/>
      </c>
      <c r="K135" s="27" t="inlineStr"/>
      <c r="L135" s="27">
        <f>'06 Bug Tracker'!R135</f>
        <v/>
      </c>
      <c r="M135" s="27">
        <f>'06 Bug Tracker'!N135</f>
        <v/>
      </c>
      <c r="N135" s="27" t="inlineStr"/>
      <c r="O135" s="27" t="inlineStr"/>
    </row>
    <row r="136">
      <c r="A136" s="29">
        <f>'06 Bug Tracker'!A136</f>
        <v/>
      </c>
      <c r="B136" s="29">
        <f>'06 Bug Tracker'!B136</f>
        <v/>
      </c>
      <c r="C136" s="29">
        <f>'06 Bug Tracker'!D136</f>
        <v/>
      </c>
      <c r="D136" s="29">
        <f>'06 Bug Tracker'!J136</f>
        <v/>
      </c>
      <c r="E136" s="29">
        <f>'06 Bug Tracker'!K136</f>
        <v/>
      </c>
      <c r="F136" s="29">
        <f>'06 Bug Tracker'!L136</f>
        <v/>
      </c>
      <c r="G136" s="29">
        <f>'06 Bug Tracker'!N136</f>
        <v/>
      </c>
      <c r="H136" s="29">
        <f>'06 Bug Tracker'!M136</f>
        <v/>
      </c>
      <c r="I136" s="29">
        <f>IF(A136="","",IF(OR(F136="New",F136="Open",F136="In Progress",F136="Fixed",F136="Retest"),"Yes","No"))</f>
        <v/>
      </c>
      <c r="J136" s="29">
        <f>IF(A136="","",IF(F136="Retest","Fixed — Ready for Retest",IF(F136="Fixed","Fixed — Ready for Retest",IF(F136="In Progress","In Progress",IF(OR(F136="New",F136="Open"),"Queued",IF(F136="Closed","Done",IF(F136="Won't Fix","Won't Fix","")))))))</f>
        <v/>
      </c>
      <c r="K136" s="29" t="inlineStr"/>
      <c r="L136" s="29">
        <f>'06 Bug Tracker'!R136</f>
        <v/>
      </c>
      <c r="M136" s="29">
        <f>'06 Bug Tracker'!N136</f>
        <v/>
      </c>
      <c r="N136" s="29" t="inlineStr"/>
      <c r="O136" s="29" t="inlineStr"/>
    </row>
    <row r="137">
      <c r="A137" s="27">
        <f>'06 Bug Tracker'!A137</f>
        <v/>
      </c>
      <c r="B137" s="27">
        <f>'06 Bug Tracker'!B137</f>
        <v/>
      </c>
      <c r="C137" s="27">
        <f>'06 Bug Tracker'!D137</f>
        <v/>
      </c>
      <c r="D137" s="27">
        <f>'06 Bug Tracker'!J137</f>
        <v/>
      </c>
      <c r="E137" s="27">
        <f>'06 Bug Tracker'!K137</f>
        <v/>
      </c>
      <c r="F137" s="27">
        <f>'06 Bug Tracker'!L137</f>
        <v/>
      </c>
      <c r="G137" s="27">
        <f>'06 Bug Tracker'!N137</f>
        <v/>
      </c>
      <c r="H137" s="27">
        <f>'06 Bug Tracker'!M137</f>
        <v/>
      </c>
      <c r="I137" s="27">
        <f>IF(A137="","",IF(OR(F137="New",F137="Open",F137="In Progress",F137="Fixed",F137="Retest"),"Yes","No"))</f>
        <v/>
      </c>
      <c r="J137" s="27">
        <f>IF(A137="","",IF(F137="Retest","Fixed — Ready for Retest",IF(F137="Fixed","Fixed — Ready for Retest",IF(F137="In Progress","In Progress",IF(OR(F137="New",F137="Open"),"Queued",IF(F137="Closed","Done",IF(F137="Won't Fix","Won't Fix","")))))))</f>
        <v/>
      </c>
      <c r="K137" s="27" t="inlineStr"/>
      <c r="L137" s="27">
        <f>'06 Bug Tracker'!R137</f>
        <v/>
      </c>
      <c r="M137" s="27">
        <f>'06 Bug Tracker'!N137</f>
        <v/>
      </c>
      <c r="N137" s="27" t="inlineStr"/>
      <c r="O137" s="27" t="inlineStr"/>
    </row>
    <row r="138">
      <c r="A138" s="29">
        <f>'06 Bug Tracker'!A138</f>
        <v/>
      </c>
      <c r="B138" s="29">
        <f>'06 Bug Tracker'!B138</f>
        <v/>
      </c>
      <c r="C138" s="29">
        <f>'06 Bug Tracker'!D138</f>
        <v/>
      </c>
      <c r="D138" s="29">
        <f>'06 Bug Tracker'!J138</f>
        <v/>
      </c>
      <c r="E138" s="29">
        <f>'06 Bug Tracker'!K138</f>
        <v/>
      </c>
      <c r="F138" s="29">
        <f>'06 Bug Tracker'!L138</f>
        <v/>
      </c>
      <c r="G138" s="29">
        <f>'06 Bug Tracker'!N138</f>
        <v/>
      </c>
      <c r="H138" s="29">
        <f>'06 Bug Tracker'!M138</f>
        <v/>
      </c>
      <c r="I138" s="29">
        <f>IF(A138="","",IF(OR(F138="New",F138="Open",F138="In Progress",F138="Fixed",F138="Retest"),"Yes","No"))</f>
        <v/>
      </c>
      <c r="J138" s="29">
        <f>IF(A138="","",IF(F138="Retest","Fixed — Ready for Retest",IF(F138="Fixed","Fixed — Ready for Retest",IF(F138="In Progress","In Progress",IF(OR(F138="New",F138="Open"),"Queued",IF(F138="Closed","Done",IF(F138="Won't Fix","Won't Fix","")))))))</f>
        <v/>
      </c>
      <c r="K138" s="29" t="inlineStr"/>
      <c r="L138" s="29">
        <f>'06 Bug Tracker'!R138</f>
        <v/>
      </c>
      <c r="M138" s="29">
        <f>'06 Bug Tracker'!N138</f>
        <v/>
      </c>
      <c r="N138" s="29" t="inlineStr"/>
      <c r="O138" s="29" t="inlineStr"/>
    </row>
    <row r="139">
      <c r="A139" s="27">
        <f>'06 Bug Tracker'!A139</f>
        <v/>
      </c>
      <c r="B139" s="27">
        <f>'06 Bug Tracker'!B139</f>
        <v/>
      </c>
      <c r="C139" s="27">
        <f>'06 Bug Tracker'!D139</f>
        <v/>
      </c>
      <c r="D139" s="27">
        <f>'06 Bug Tracker'!J139</f>
        <v/>
      </c>
      <c r="E139" s="27">
        <f>'06 Bug Tracker'!K139</f>
        <v/>
      </c>
      <c r="F139" s="27">
        <f>'06 Bug Tracker'!L139</f>
        <v/>
      </c>
      <c r="G139" s="27">
        <f>'06 Bug Tracker'!N139</f>
        <v/>
      </c>
      <c r="H139" s="27">
        <f>'06 Bug Tracker'!M139</f>
        <v/>
      </c>
      <c r="I139" s="27">
        <f>IF(A139="","",IF(OR(F139="New",F139="Open",F139="In Progress",F139="Fixed",F139="Retest"),"Yes","No"))</f>
        <v/>
      </c>
      <c r="J139" s="27">
        <f>IF(A139="","",IF(F139="Retest","Fixed — Ready for Retest",IF(F139="Fixed","Fixed — Ready for Retest",IF(F139="In Progress","In Progress",IF(OR(F139="New",F139="Open"),"Queued",IF(F139="Closed","Done",IF(F139="Won't Fix","Won't Fix","")))))))</f>
        <v/>
      </c>
      <c r="K139" s="27" t="inlineStr"/>
      <c r="L139" s="27">
        <f>'06 Bug Tracker'!R139</f>
        <v/>
      </c>
      <c r="M139" s="27">
        <f>'06 Bug Tracker'!N139</f>
        <v/>
      </c>
      <c r="N139" s="27" t="inlineStr"/>
      <c r="O139" s="27" t="inlineStr"/>
    </row>
    <row r="140">
      <c r="A140" s="29">
        <f>'06 Bug Tracker'!A140</f>
        <v/>
      </c>
      <c r="B140" s="29">
        <f>'06 Bug Tracker'!B140</f>
        <v/>
      </c>
      <c r="C140" s="29">
        <f>'06 Bug Tracker'!D140</f>
        <v/>
      </c>
      <c r="D140" s="29">
        <f>'06 Bug Tracker'!J140</f>
        <v/>
      </c>
      <c r="E140" s="29">
        <f>'06 Bug Tracker'!K140</f>
        <v/>
      </c>
      <c r="F140" s="29">
        <f>'06 Bug Tracker'!L140</f>
        <v/>
      </c>
      <c r="G140" s="29">
        <f>'06 Bug Tracker'!N140</f>
        <v/>
      </c>
      <c r="H140" s="29">
        <f>'06 Bug Tracker'!M140</f>
        <v/>
      </c>
      <c r="I140" s="29">
        <f>IF(A140="","",IF(OR(F140="New",F140="Open",F140="In Progress",F140="Fixed",F140="Retest"),"Yes","No"))</f>
        <v/>
      </c>
      <c r="J140" s="29">
        <f>IF(A140="","",IF(F140="Retest","Fixed — Ready for Retest",IF(F140="Fixed","Fixed — Ready for Retest",IF(F140="In Progress","In Progress",IF(OR(F140="New",F140="Open"),"Queued",IF(F140="Closed","Done",IF(F140="Won't Fix","Won't Fix","")))))))</f>
        <v/>
      </c>
      <c r="K140" s="29" t="inlineStr"/>
      <c r="L140" s="29">
        <f>'06 Bug Tracker'!R140</f>
        <v/>
      </c>
      <c r="M140" s="29">
        <f>'06 Bug Tracker'!N140</f>
        <v/>
      </c>
      <c r="N140" s="29" t="inlineStr"/>
      <c r="O140" s="29" t="inlineStr"/>
    </row>
    <row r="141">
      <c r="A141" s="27">
        <f>'06 Bug Tracker'!A141</f>
        <v/>
      </c>
      <c r="B141" s="27">
        <f>'06 Bug Tracker'!B141</f>
        <v/>
      </c>
      <c r="C141" s="27">
        <f>'06 Bug Tracker'!D141</f>
        <v/>
      </c>
      <c r="D141" s="27">
        <f>'06 Bug Tracker'!J141</f>
        <v/>
      </c>
      <c r="E141" s="27">
        <f>'06 Bug Tracker'!K141</f>
        <v/>
      </c>
      <c r="F141" s="27">
        <f>'06 Bug Tracker'!L141</f>
        <v/>
      </c>
      <c r="G141" s="27">
        <f>'06 Bug Tracker'!N141</f>
        <v/>
      </c>
      <c r="H141" s="27">
        <f>'06 Bug Tracker'!M141</f>
        <v/>
      </c>
      <c r="I141" s="27">
        <f>IF(A141="","",IF(OR(F141="New",F141="Open",F141="In Progress",F141="Fixed",F141="Retest"),"Yes","No"))</f>
        <v/>
      </c>
      <c r="J141" s="27">
        <f>IF(A141="","",IF(F141="Retest","Fixed — Ready for Retest",IF(F141="Fixed","Fixed — Ready for Retest",IF(F141="In Progress","In Progress",IF(OR(F141="New",F141="Open"),"Queued",IF(F141="Closed","Done",IF(F141="Won't Fix","Won't Fix","")))))))</f>
        <v/>
      </c>
      <c r="K141" s="27" t="inlineStr"/>
      <c r="L141" s="27">
        <f>'06 Bug Tracker'!R141</f>
        <v/>
      </c>
      <c r="M141" s="27">
        <f>'06 Bug Tracker'!N141</f>
        <v/>
      </c>
      <c r="N141" s="27" t="inlineStr"/>
      <c r="O141" s="27" t="inlineStr"/>
    </row>
    <row r="142">
      <c r="A142" s="29">
        <f>'06 Bug Tracker'!A142</f>
        <v/>
      </c>
      <c r="B142" s="29">
        <f>'06 Bug Tracker'!B142</f>
        <v/>
      </c>
      <c r="C142" s="29">
        <f>'06 Bug Tracker'!D142</f>
        <v/>
      </c>
      <c r="D142" s="29">
        <f>'06 Bug Tracker'!J142</f>
        <v/>
      </c>
      <c r="E142" s="29">
        <f>'06 Bug Tracker'!K142</f>
        <v/>
      </c>
      <c r="F142" s="29">
        <f>'06 Bug Tracker'!L142</f>
        <v/>
      </c>
      <c r="G142" s="29">
        <f>'06 Bug Tracker'!N142</f>
        <v/>
      </c>
      <c r="H142" s="29">
        <f>'06 Bug Tracker'!M142</f>
        <v/>
      </c>
      <c r="I142" s="29">
        <f>IF(A142="","",IF(OR(F142="New",F142="Open",F142="In Progress",F142="Fixed",F142="Retest"),"Yes","No"))</f>
        <v/>
      </c>
      <c r="J142" s="29">
        <f>IF(A142="","",IF(F142="Retest","Fixed — Ready for Retest",IF(F142="Fixed","Fixed — Ready for Retest",IF(F142="In Progress","In Progress",IF(OR(F142="New",F142="Open"),"Queued",IF(F142="Closed","Done",IF(F142="Won't Fix","Won't Fix","")))))))</f>
        <v/>
      </c>
      <c r="K142" s="29" t="inlineStr"/>
      <c r="L142" s="29">
        <f>'06 Bug Tracker'!R142</f>
        <v/>
      </c>
      <c r="M142" s="29">
        <f>'06 Bug Tracker'!N142</f>
        <v/>
      </c>
      <c r="N142" s="29" t="inlineStr"/>
      <c r="O142" s="29" t="inlineStr"/>
    </row>
    <row r="143">
      <c r="A143" s="27">
        <f>'06 Bug Tracker'!A143</f>
        <v/>
      </c>
      <c r="B143" s="27">
        <f>'06 Bug Tracker'!B143</f>
        <v/>
      </c>
      <c r="C143" s="27">
        <f>'06 Bug Tracker'!D143</f>
        <v/>
      </c>
      <c r="D143" s="27">
        <f>'06 Bug Tracker'!J143</f>
        <v/>
      </c>
      <c r="E143" s="27">
        <f>'06 Bug Tracker'!K143</f>
        <v/>
      </c>
      <c r="F143" s="27">
        <f>'06 Bug Tracker'!L143</f>
        <v/>
      </c>
      <c r="G143" s="27">
        <f>'06 Bug Tracker'!N143</f>
        <v/>
      </c>
      <c r="H143" s="27">
        <f>'06 Bug Tracker'!M143</f>
        <v/>
      </c>
      <c r="I143" s="27">
        <f>IF(A143="","",IF(OR(F143="New",F143="Open",F143="In Progress",F143="Fixed",F143="Retest"),"Yes","No"))</f>
        <v/>
      </c>
      <c r="J143" s="27">
        <f>IF(A143="","",IF(F143="Retest","Fixed — Ready for Retest",IF(F143="Fixed","Fixed — Ready for Retest",IF(F143="In Progress","In Progress",IF(OR(F143="New",F143="Open"),"Queued",IF(F143="Closed","Done",IF(F143="Won't Fix","Won't Fix","")))))))</f>
        <v/>
      </c>
      <c r="K143" s="27" t="inlineStr"/>
      <c r="L143" s="27">
        <f>'06 Bug Tracker'!R143</f>
        <v/>
      </c>
      <c r="M143" s="27">
        <f>'06 Bug Tracker'!N143</f>
        <v/>
      </c>
      <c r="N143" s="27" t="inlineStr"/>
      <c r="O143" s="27" t="inlineStr"/>
    </row>
    <row r="144">
      <c r="A144" s="29">
        <f>'06 Bug Tracker'!A144</f>
        <v/>
      </c>
      <c r="B144" s="29">
        <f>'06 Bug Tracker'!B144</f>
        <v/>
      </c>
      <c r="C144" s="29">
        <f>'06 Bug Tracker'!D144</f>
        <v/>
      </c>
      <c r="D144" s="29">
        <f>'06 Bug Tracker'!J144</f>
        <v/>
      </c>
      <c r="E144" s="29">
        <f>'06 Bug Tracker'!K144</f>
        <v/>
      </c>
      <c r="F144" s="29">
        <f>'06 Bug Tracker'!L144</f>
        <v/>
      </c>
      <c r="G144" s="29">
        <f>'06 Bug Tracker'!N144</f>
        <v/>
      </c>
      <c r="H144" s="29">
        <f>'06 Bug Tracker'!M144</f>
        <v/>
      </c>
      <c r="I144" s="29">
        <f>IF(A144="","",IF(OR(F144="New",F144="Open",F144="In Progress",F144="Fixed",F144="Retest"),"Yes","No"))</f>
        <v/>
      </c>
      <c r="J144" s="29">
        <f>IF(A144="","",IF(F144="Retest","Fixed — Ready for Retest",IF(F144="Fixed","Fixed — Ready for Retest",IF(F144="In Progress","In Progress",IF(OR(F144="New",F144="Open"),"Queued",IF(F144="Closed","Done",IF(F144="Won't Fix","Won't Fix","")))))))</f>
        <v/>
      </c>
      <c r="K144" s="29" t="inlineStr"/>
      <c r="L144" s="29">
        <f>'06 Bug Tracker'!R144</f>
        <v/>
      </c>
      <c r="M144" s="29">
        <f>'06 Bug Tracker'!N144</f>
        <v/>
      </c>
      <c r="N144" s="29" t="inlineStr"/>
      <c r="O144" s="29" t="inlineStr"/>
    </row>
    <row r="145">
      <c r="A145" s="27">
        <f>'06 Bug Tracker'!A145</f>
        <v/>
      </c>
      <c r="B145" s="27">
        <f>'06 Bug Tracker'!B145</f>
        <v/>
      </c>
      <c r="C145" s="27">
        <f>'06 Bug Tracker'!D145</f>
        <v/>
      </c>
      <c r="D145" s="27">
        <f>'06 Bug Tracker'!J145</f>
        <v/>
      </c>
      <c r="E145" s="27">
        <f>'06 Bug Tracker'!K145</f>
        <v/>
      </c>
      <c r="F145" s="27">
        <f>'06 Bug Tracker'!L145</f>
        <v/>
      </c>
      <c r="G145" s="27">
        <f>'06 Bug Tracker'!N145</f>
        <v/>
      </c>
      <c r="H145" s="27">
        <f>'06 Bug Tracker'!M145</f>
        <v/>
      </c>
      <c r="I145" s="27">
        <f>IF(A145="","",IF(OR(F145="New",F145="Open",F145="In Progress",F145="Fixed",F145="Retest"),"Yes","No"))</f>
        <v/>
      </c>
      <c r="J145" s="27">
        <f>IF(A145="","",IF(F145="Retest","Fixed — Ready for Retest",IF(F145="Fixed","Fixed — Ready for Retest",IF(F145="In Progress","In Progress",IF(OR(F145="New",F145="Open"),"Queued",IF(F145="Closed","Done",IF(F145="Won't Fix","Won't Fix","")))))))</f>
        <v/>
      </c>
      <c r="K145" s="27" t="inlineStr"/>
      <c r="L145" s="27">
        <f>'06 Bug Tracker'!R145</f>
        <v/>
      </c>
      <c r="M145" s="27">
        <f>'06 Bug Tracker'!N145</f>
        <v/>
      </c>
      <c r="N145" s="27" t="inlineStr"/>
      <c r="O145" s="27" t="inlineStr"/>
    </row>
    <row r="146">
      <c r="A146" s="29">
        <f>'06 Bug Tracker'!A146</f>
        <v/>
      </c>
      <c r="B146" s="29">
        <f>'06 Bug Tracker'!B146</f>
        <v/>
      </c>
      <c r="C146" s="29">
        <f>'06 Bug Tracker'!D146</f>
        <v/>
      </c>
      <c r="D146" s="29">
        <f>'06 Bug Tracker'!J146</f>
        <v/>
      </c>
      <c r="E146" s="29">
        <f>'06 Bug Tracker'!K146</f>
        <v/>
      </c>
      <c r="F146" s="29">
        <f>'06 Bug Tracker'!L146</f>
        <v/>
      </c>
      <c r="G146" s="29">
        <f>'06 Bug Tracker'!N146</f>
        <v/>
      </c>
      <c r="H146" s="29">
        <f>'06 Bug Tracker'!M146</f>
        <v/>
      </c>
      <c r="I146" s="29">
        <f>IF(A146="","",IF(OR(F146="New",F146="Open",F146="In Progress",F146="Fixed",F146="Retest"),"Yes","No"))</f>
        <v/>
      </c>
      <c r="J146" s="29">
        <f>IF(A146="","",IF(F146="Retest","Fixed — Ready for Retest",IF(F146="Fixed","Fixed — Ready for Retest",IF(F146="In Progress","In Progress",IF(OR(F146="New",F146="Open"),"Queued",IF(F146="Closed","Done",IF(F146="Won't Fix","Won't Fix","")))))))</f>
        <v/>
      </c>
      <c r="K146" s="29" t="inlineStr"/>
      <c r="L146" s="29">
        <f>'06 Bug Tracker'!R146</f>
        <v/>
      </c>
      <c r="M146" s="29">
        <f>'06 Bug Tracker'!N146</f>
        <v/>
      </c>
      <c r="N146" s="29" t="inlineStr"/>
      <c r="O146" s="29" t="inlineStr"/>
    </row>
    <row r="147">
      <c r="A147" s="27">
        <f>'06 Bug Tracker'!A147</f>
        <v/>
      </c>
      <c r="B147" s="27">
        <f>'06 Bug Tracker'!B147</f>
        <v/>
      </c>
      <c r="C147" s="27">
        <f>'06 Bug Tracker'!D147</f>
        <v/>
      </c>
      <c r="D147" s="27">
        <f>'06 Bug Tracker'!J147</f>
        <v/>
      </c>
      <c r="E147" s="27">
        <f>'06 Bug Tracker'!K147</f>
        <v/>
      </c>
      <c r="F147" s="27">
        <f>'06 Bug Tracker'!L147</f>
        <v/>
      </c>
      <c r="G147" s="27">
        <f>'06 Bug Tracker'!N147</f>
        <v/>
      </c>
      <c r="H147" s="27">
        <f>'06 Bug Tracker'!M147</f>
        <v/>
      </c>
      <c r="I147" s="27">
        <f>IF(A147="","",IF(OR(F147="New",F147="Open",F147="In Progress",F147="Fixed",F147="Retest"),"Yes","No"))</f>
        <v/>
      </c>
      <c r="J147" s="27">
        <f>IF(A147="","",IF(F147="Retest","Fixed — Ready for Retest",IF(F147="Fixed","Fixed — Ready for Retest",IF(F147="In Progress","In Progress",IF(OR(F147="New",F147="Open"),"Queued",IF(F147="Closed","Done",IF(F147="Won't Fix","Won't Fix","")))))))</f>
        <v/>
      </c>
      <c r="K147" s="27" t="inlineStr"/>
      <c r="L147" s="27">
        <f>'06 Bug Tracker'!R147</f>
        <v/>
      </c>
      <c r="M147" s="27">
        <f>'06 Bug Tracker'!N147</f>
        <v/>
      </c>
      <c r="N147" s="27" t="inlineStr"/>
      <c r="O147" s="27" t="inlineStr"/>
    </row>
    <row r="148">
      <c r="A148" s="29">
        <f>'06 Bug Tracker'!A148</f>
        <v/>
      </c>
      <c r="B148" s="29">
        <f>'06 Bug Tracker'!B148</f>
        <v/>
      </c>
      <c r="C148" s="29">
        <f>'06 Bug Tracker'!D148</f>
        <v/>
      </c>
      <c r="D148" s="29">
        <f>'06 Bug Tracker'!J148</f>
        <v/>
      </c>
      <c r="E148" s="29">
        <f>'06 Bug Tracker'!K148</f>
        <v/>
      </c>
      <c r="F148" s="29">
        <f>'06 Bug Tracker'!L148</f>
        <v/>
      </c>
      <c r="G148" s="29">
        <f>'06 Bug Tracker'!N148</f>
        <v/>
      </c>
      <c r="H148" s="29">
        <f>'06 Bug Tracker'!M148</f>
        <v/>
      </c>
      <c r="I148" s="29">
        <f>IF(A148="","",IF(OR(F148="New",F148="Open",F148="In Progress",F148="Fixed",F148="Retest"),"Yes","No"))</f>
        <v/>
      </c>
      <c r="J148" s="29">
        <f>IF(A148="","",IF(F148="Retest","Fixed — Ready for Retest",IF(F148="Fixed","Fixed — Ready for Retest",IF(F148="In Progress","In Progress",IF(OR(F148="New",F148="Open"),"Queued",IF(F148="Closed","Done",IF(F148="Won't Fix","Won't Fix","")))))))</f>
        <v/>
      </c>
      <c r="K148" s="29" t="inlineStr"/>
      <c r="L148" s="29">
        <f>'06 Bug Tracker'!R148</f>
        <v/>
      </c>
      <c r="M148" s="29">
        <f>'06 Bug Tracker'!N148</f>
        <v/>
      </c>
      <c r="N148" s="29" t="inlineStr"/>
      <c r="O148" s="29" t="inlineStr"/>
    </row>
    <row r="149">
      <c r="A149" s="27">
        <f>'06 Bug Tracker'!A149</f>
        <v/>
      </c>
      <c r="B149" s="27">
        <f>'06 Bug Tracker'!B149</f>
        <v/>
      </c>
      <c r="C149" s="27">
        <f>'06 Bug Tracker'!D149</f>
        <v/>
      </c>
      <c r="D149" s="27">
        <f>'06 Bug Tracker'!J149</f>
        <v/>
      </c>
      <c r="E149" s="27">
        <f>'06 Bug Tracker'!K149</f>
        <v/>
      </c>
      <c r="F149" s="27">
        <f>'06 Bug Tracker'!L149</f>
        <v/>
      </c>
      <c r="G149" s="27">
        <f>'06 Bug Tracker'!N149</f>
        <v/>
      </c>
      <c r="H149" s="27">
        <f>'06 Bug Tracker'!M149</f>
        <v/>
      </c>
      <c r="I149" s="27">
        <f>IF(A149="","",IF(OR(F149="New",F149="Open",F149="In Progress",F149="Fixed",F149="Retest"),"Yes","No"))</f>
        <v/>
      </c>
      <c r="J149" s="27">
        <f>IF(A149="","",IF(F149="Retest","Fixed — Ready for Retest",IF(F149="Fixed","Fixed — Ready for Retest",IF(F149="In Progress","In Progress",IF(OR(F149="New",F149="Open"),"Queued",IF(F149="Closed","Done",IF(F149="Won't Fix","Won't Fix","")))))))</f>
        <v/>
      </c>
      <c r="K149" s="27" t="inlineStr"/>
      <c r="L149" s="27">
        <f>'06 Bug Tracker'!R149</f>
        <v/>
      </c>
      <c r="M149" s="27">
        <f>'06 Bug Tracker'!N149</f>
        <v/>
      </c>
      <c r="N149" s="27" t="inlineStr"/>
      <c r="O149" s="27" t="inlineStr"/>
    </row>
    <row r="150">
      <c r="A150" s="29">
        <f>'06 Bug Tracker'!A150</f>
        <v/>
      </c>
      <c r="B150" s="29">
        <f>'06 Bug Tracker'!B150</f>
        <v/>
      </c>
      <c r="C150" s="29">
        <f>'06 Bug Tracker'!D150</f>
        <v/>
      </c>
      <c r="D150" s="29">
        <f>'06 Bug Tracker'!J150</f>
        <v/>
      </c>
      <c r="E150" s="29">
        <f>'06 Bug Tracker'!K150</f>
        <v/>
      </c>
      <c r="F150" s="29">
        <f>'06 Bug Tracker'!L150</f>
        <v/>
      </c>
      <c r="G150" s="29">
        <f>'06 Bug Tracker'!N150</f>
        <v/>
      </c>
      <c r="H150" s="29">
        <f>'06 Bug Tracker'!M150</f>
        <v/>
      </c>
      <c r="I150" s="29">
        <f>IF(A150="","",IF(OR(F150="New",F150="Open",F150="In Progress",F150="Fixed",F150="Retest"),"Yes","No"))</f>
        <v/>
      </c>
      <c r="J150" s="29">
        <f>IF(A150="","",IF(F150="Retest","Fixed — Ready for Retest",IF(F150="Fixed","Fixed — Ready for Retest",IF(F150="In Progress","In Progress",IF(OR(F150="New",F150="Open"),"Queued",IF(F150="Closed","Done",IF(F150="Won't Fix","Won't Fix","")))))))</f>
        <v/>
      </c>
      <c r="K150" s="29" t="inlineStr"/>
      <c r="L150" s="29">
        <f>'06 Bug Tracker'!R150</f>
        <v/>
      </c>
      <c r="M150" s="29">
        <f>'06 Bug Tracker'!N150</f>
        <v/>
      </c>
      <c r="N150" s="29" t="inlineStr"/>
      <c r="O150" s="29" t="inlineStr"/>
    </row>
    <row r="151">
      <c r="A151" s="27">
        <f>'06 Bug Tracker'!A151</f>
        <v/>
      </c>
      <c r="B151" s="27">
        <f>'06 Bug Tracker'!B151</f>
        <v/>
      </c>
      <c r="C151" s="27">
        <f>'06 Bug Tracker'!D151</f>
        <v/>
      </c>
      <c r="D151" s="27">
        <f>'06 Bug Tracker'!J151</f>
        <v/>
      </c>
      <c r="E151" s="27">
        <f>'06 Bug Tracker'!K151</f>
        <v/>
      </c>
      <c r="F151" s="27">
        <f>'06 Bug Tracker'!L151</f>
        <v/>
      </c>
      <c r="G151" s="27">
        <f>'06 Bug Tracker'!N151</f>
        <v/>
      </c>
      <c r="H151" s="27">
        <f>'06 Bug Tracker'!M151</f>
        <v/>
      </c>
      <c r="I151" s="27">
        <f>IF(A151="","",IF(OR(F151="New",F151="Open",F151="In Progress",F151="Fixed",F151="Retest"),"Yes","No"))</f>
        <v/>
      </c>
      <c r="J151" s="27">
        <f>IF(A151="","",IF(F151="Retest","Fixed — Ready for Retest",IF(F151="Fixed","Fixed — Ready for Retest",IF(F151="In Progress","In Progress",IF(OR(F151="New",F151="Open"),"Queued",IF(F151="Closed","Done",IF(F151="Won't Fix","Won't Fix","")))))))</f>
        <v/>
      </c>
      <c r="K151" s="27" t="inlineStr"/>
      <c r="L151" s="27">
        <f>'06 Bug Tracker'!R151</f>
        <v/>
      </c>
      <c r="M151" s="27">
        <f>'06 Bug Tracker'!N151</f>
        <v/>
      </c>
      <c r="N151" s="27" t="inlineStr"/>
      <c r="O151" s="27" t="inlineStr"/>
    </row>
    <row r="152">
      <c r="A152" s="29">
        <f>'06 Bug Tracker'!A152</f>
        <v/>
      </c>
      <c r="B152" s="29">
        <f>'06 Bug Tracker'!B152</f>
        <v/>
      </c>
      <c r="C152" s="29">
        <f>'06 Bug Tracker'!D152</f>
        <v/>
      </c>
      <c r="D152" s="29">
        <f>'06 Bug Tracker'!J152</f>
        <v/>
      </c>
      <c r="E152" s="29">
        <f>'06 Bug Tracker'!K152</f>
        <v/>
      </c>
      <c r="F152" s="29">
        <f>'06 Bug Tracker'!L152</f>
        <v/>
      </c>
      <c r="G152" s="29">
        <f>'06 Bug Tracker'!N152</f>
        <v/>
      </c>
      <c r="H152" s="29">
        <f>'06 Bug Tracker'!M152</f>
        <v/>
      </c>
      <c r="I152" s="29">
        <f>IF(A152="","",IF(OR(F152="New",F152="Open",F152="In Progress",F152="Fixed",F152="Retest"),"Yes","No"))</f>
        <v/>
      </c>
      <c r="J152" s="29">
        <f>IF(A152="","",IF(F152="Retest","Fixed — Ready for Retest",IF(F152="Fixed","Fixed — Ready for Retest",IF(F152="In Progress","In Progress",IF(OR(F152="New",F152="Open"),"Queued",IF(F152="Closed","Done",IF(F152="Won't Fix","Won't Fix","")))))))</f>
        <v/>
      </c>
      <c r="K152" s="29" t="inlineStr"/>
      <c r="L152" s="29">
        <f>'06 Bug Tracker'!R152</f>
        <v/>
      </c>
      <c r="M152" s="29">
        <f>'06 Bug Tracker'!N152</f>
        <v/>
      </c>
      <c r="N152" s="29" t="inlineStr"/>
      <c r="O152" s="29" t="inlineStr"/>
    </row>
    <row r="154">
      <c r="A154" s="35" t="inlineStr">
        <is>
          <t>QUEUE KPIs (auto)</t>
        </is>
      </c>
    </row>
    <row r="155">
      <c r="A155" s="3" t="inlineStr">
        <is>
          <t>Needs Dev Action = Yes</t>
        </is>
      </c>
      <c r="B155">
        <f>IFERROR(COUNTIF(I3:I152,"Yes"),0)</f>
        <v/>
      </c>
    </row>
    <row r="156">
      <c r="A156" s="3" t="inlineStr">
        <is>
          <t>Reported by Shreya (open)</t>
        </is>
      </c>
      <c r="B156">
        <f>IFERROR(COUNTIFS(G3:G152,"Shreya Patil",I3:I152,"Yes"),0)</f>
        <v/>
      </c>
    </row>
    <row r="157">
      <c r="A157" s="3" t="inlineStr">
        <is>
          <t>Reported by Raj (open)</t>
        </is>
      </c>
      <c r="B157">
        <f>IFERROR(COUNTIFS(G3:G152,"Raj Balani",I3:I152,"Yes"),0)</f>
        <v/>
      </c>
    </row>
    <row r="158">
      <c r="A158" s="3" t="inlineStr">
        <is>
          <t>Ready for Retest</t>
        </is>
      </c>
      <c r="B158">
        <f>IFERROR(COUNTIF(J3:J152,"Fixed — Ready for Retest"),0)</f>
        <v/>
      </c>
    </row>
    <row r="159">
      <c r="A159" s="3" t="inlineStr">
        <is>
          <t>HOW TO USE</t>
        </is>
      </c>
      <c r="B159" t="inlineStr">
        <is>
          <t>1) QA fails TC on 04  2) QA adds bug on 06 (Reported By=Shreya/Raj, Assigned To=dev)  3) Row appears here  4) Dev fixes → set Bug Status=Fixed/Retest on 06  5) QA retests → Closed</t>
        </is>
      </c>
    </row>
  </sheetData>
  <autoFilter ref="A2:O152"/>
  <mergeCells count="6">
    <mergeCell ref="B158:F158"/>
    <mergeCell ref="B156:F156"/>
    <mergeCell ref="B159:F159"/>
    <mergeCell ref="B155:F155"/>
    <mergeCell ref="A1:H1"/>
    <mergeCell ref="B157:F157"/>
  </mergeCells>
  <conditionalFormatting sqref="D3:D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E3:E500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conditionalFormatting sqref="N3:N500">
    <cfRule type="cellIs" priority="9" operator="equal" dxfId="4">
      <formula>"Pass"</formula>
    </cfRule>
    <cfRule type="cellIs" priority="10" operator="equal" dxfId="4">
      <formula>"PASS"</formula>
    </cfRule>
    <cfRule type="cellIs" priority="11" operator="equal" dxfId="4">
      <formula>"Yes"</formula>
    </cfRule>
    <cfRule type="cellIs" priority="12" operator="equal" dxfId="5">
      <formula>"Fail"</formula>
    </cfRule>
    <cfRule type="cellIs" priority="13" operator="equal" dxfId="5">
      <formula>"FAIL"</formula>
    </cfRule>
    <cfRule type="cellIs" priority="14" operator="equal" dxfId="5">
      <formula>"No"</formula>
    </cfRule>
    <cfRule type="cellIs" priority="15" operator="equal" dxfId="6">
      <formula>"In Progress"</formula>
    </cfRule>
    <cfRule type="cellIs" priority="16" operator="equal" dxfId="6">
      <formula>"Blocked"</formula>
    </cfRule>
    <cfRule type="cellIs" priority="17" operator="equal" dxfId="6">
      <formula>"Partial"</formula>
    </cfRule>
    <cfRule type="cellIs" priority="18" operator="equal" dxfId="7">
      <formula>"Not Started"</formula>
    </cfRule>
    <cfRule type="cellIs" priority="19" operator="equal" dxfId="7">
      <formula>"Not Run"</formula>
    </cfRule>
    <cfRule type="cellIs" priority="20" operator="equal" dxfId="7">
      <formula>"Not Tested"</formula>
    </cfRule>
    <cfRule type="cellIs" priority="21" operator="equal" dxfId="7">
      <formula>"N/A"</formula>
    </cfRule>
    <cfRule type="cellIs" priority="22" operator="equal" dxfId="8">
      <formula>"Completed"</formula>
    </cfRule>
    <cfRule type="cellIs" priority="23" operator="equal" dxfId="8">
      <formula>"Complete"</formula>
    </cfRule>
    <cfRule type="cellIs" priority="24" operator="equal" dxfId="8">
      <formula>"Passed"</formula>
    </cfRule>
    <cfRule type="cellIs" priority="25" operator="equal" dxfId="8">
      <formula>"Ready"</formula>
    </cfRule>
  </conditionalFormatting>
  <dataValidations count="3">
    <dataValidation sqref="J3:J5000" showDropDown="0" showInputMessage="0" showErrorMessage="0" allowBlank="1" errorTitle="Invalid" error="Pick a value from the list" type="list">
      <formula1>Lists!$AK$2:$AK$8</formula1>
    </dataValidation>
    <dataValidation sqref="M3:M5000" showDropDown="0" showInputMessage="0" showErrorMessage="0" allowBlank="1" errorTitle="Invalid" error="Pick a value from the list" type="list">
      <formula1>Lists!$AC$2:$AC$3</formula1>
    </dataValidation>
    <dataValidation sqref="N3:N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6" customWidth="1" min="2" max="2"/>
    <col width="18" customWidth="1" min="3" max="3"/>
    <col width="36" customWidth="1" min="4" max="4"/>
    <col width="12" customWidth="1" min="5" max="5"/>
    <col width="14" customWidth="1" min="6" max="6"/>
    <col width="12" customWidth="1" min="7" max="7"/>
    <col width="13" customWidth="1" min="8" max="8"/>
    <col width="16" customWidth="1" min="9" max="9"/>
    <col width="20" customWidth="1" min="10" max="10"/>
    <col width="18" customWidth="1" min="11" max="11"/>
    <col width="14" customWidth="1" min="12" max="12"/>
    <col width="14" customWidth="1" min="13" max="13"/>
    <col width="13" customWidth="1" min="14" max="14"/>
    <col width="33" customWidth="1" min="15" max="15"/>
    <col width="31" customWidth="1" min="16" max="16"/>
  </cols>
  <sheetData>
    <row r="1">
      <c r="A1" s="1" t="inlineStr">
        <is>
          <t>Module Master — Clarify AI (20 core modules)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Module ID</t>
        </is>
      </c>
      <c r="B2" s="26" t="inlineStr">
        <is>
          <t>Module Name</t>
        </is>
      </c>
      <c r="C2" s="26" t="inlineStr">
        <is>
          <t>Portal</t>
        </is>
      </c>
      <c r="D2" s="26" t="inlineStr">
        <is>
          <t>Description</t>
        </is>
      </c>
      <c r="E2" s="26" t="inlineStr">
        <is>
          <t>Owner</t>
        </is>
      </c>
      <c r="F2" s="26" t="inlineStr">
        <is>
          <t>QA Owner</t>
        </is>
      </c>
      <c r="G2" s="26" t="inlineStr">
        <is>
          <t>Priority</t>
        </is>
      </c>
      <c r="H2" s="26" t="inlineStr">
        <is>
          <t>Status</t>
        </is>
      </c>
      <c r="I2" s="26" t="inlineStr">
        <is>
          <t>Total Features</t>
        </is>
      </c>
      <c r="J2" s="26" t="inlineStr">
        <is>
          <t>Completed Features</t>
        </is>
      </c>
      <c r="K2" s="26" t="inlineStr">
        <is>
          <t>Pending Features</t>
        </is>
      </c>
      <c r="L2" s="26" t="inlineStr">
        <is>
          <t>Est Hours</t>
        </is>
      </c>
      <c r="M2" s="26" t="inlineStr">
        <is>
          <t>Actual Hours</t>
        </is>
      </c>
      <c r="N2" s="26" t="inlineStr">
        <is>
          <t>Criticality</t>
        </is>
      </c>
      <c r="O2" s="26" t="inlineStr">
        <is>
          <t>Dependencies</t>
        </is>
      </c>
      <c r="P2" s="26" t="inlineStr">
        <is>
          <t>Remarks</t>
        </is>
      </c>
    </row>
    <row r="3">
      <c r="A3" s="27" t="inlineStr">
        <is>
          <t>MOD-01</t>
        </is>
      </c>
      <c r="B3" s="27" t="inlineStr">
        <is>
          <t>Auth &amp; Onboarding</t>
        </is>
      </c>
      <c r="C3" s="27" t="inlineStr">
        <is>
          <t>Auth Portal</t>
        </is>
      </c>
      <c r="D3" s="27" t="inlineStr">
        <is>
          <t>Email/OAuth login, MFA, 5-step onboarding</t>
        </is>
      </c>
      <c r="E3" s="27" t="inlineStr">
        <is>
          <t>Auth Lead</t>
        </is>
      </c>
      <c r="F3" s="27" t="inlineStr">
        <is>
          <t>Raj Balani</t>
        </is>
      </c>
      <c r="G3" s="27" t="inlineStr">
        <is>
          <t>Critical</t>
        </is>
      </c>
      <c r="H3" s="27" t="inlineStr">
        <is>
          <t>In Progress</t>
        </is>
      </c>
      <c r="I3" s="27" t="n">
        <v>7</v>
      </c>
      <c r="J3" s="27" t="n">
        <v>6</v>
      </c>
      <c r="K3" s="27" t="n">
        <v>1</v>
      </c>
      <c r="L3" s="27" t="n">
        <v>17.5</v>
      </c>
      <c r="M3" s="27" t="n">
        <v>13.2</v>
      </c>
      <c r="N3" s="27" t="inlineStr">
        <is>
          <t>Critical</t>
        </is>
      </c>
      <c r="O3" s="27" t="inlineStr">
        <is>
          <t>—</t>
        </is>
      </c>
      <c r="P3" s="27" t="inlineStr">
        <is>
          <t>Seeded from audit 28 Jul 2026</t>
        </is>
      </c>
    </row>
    <row r="4">
      <c r="A4" s="29" t="inlineStr">
        <is>
          <t>MOD-02</t>
        </is>
      </c>
      <c r="B4" s="29" t="inlineStr">
        <is>
          <t>Dashboard</t>
        </is>
      </c>
      <c r="C4" s="29" t="inlineStr">
        <is>
          <t>Candidate App</t>
        </is>
      </c>
      <c r="D4" s="29" t="inlineStr">
        <is>
          <t>Home KPIs, sessions, credits, upcoming interviews</t>
        </is>
      </c>
      <c r="E4" s="29" t="inlineStr">
        <is>
          <t>Product</t>
        </is>
      </c>
      <c r="F4" s="29" t="inlineStr">
        <is>
          <t>Raj Balani</t>
        </is>
      </c>
      <c r="G4" s="29" t="inlineStr">
        <is>
          <t>High</t>
        </is>
      </c>
      <c r="H4" s="29" t="inlineStr">
        <is>
          <t>Completed</t>
        </is>
      </c>
      <c r="I4" s="29" t="n">
        <v>5</v>
      </c>
      <c r="J4" s="29" t="n">
        <v>5</v>
      </c>
      <c r="K4" s="29" t="n">
        <v>0</v>
      </c>
      <c r="L4" s="29" t="n">
        <v>12.5</v>
      </c>
      <c r="M4" s="29" t="n">
        <v>11</v>
      </c>
      <c r="N4" s="29" t="inlineStr">
        <is>
          <t>High</t>
        </is>
      </c>
      <c r="O4" s="29" t="inlineStr">
        <is>
          <t>—</t>
        </is>
      </c>
      <c r="P4" s="29" t="inlineStr">
        <is>
          <t>Seeded from audit 28 Jul 2026</t>
        </is>
      </c>
    </row>
    <row r="5">
      <c r="A5" s="27" t="inlineStr">
        <is>
          <t>MOD-03</t>
        </is>
      </c>
      <c r="B5" s="27" t="inlineStr">
        <is>
          <t>Live Practice Coach</t>
        </is>
      </c>
      <c r="C5" s="27" t="inlineStr">
        <is>
          <t>Candidate App</t>
        </is>
      </c>
      <c r="D5" s="27" t="inlineStr">
        <is>
          <t>Deepgram STT + AI hints/answers + overlay</t>
        </is>
      </c>
      <c r="E5" s="27" t="inlineStr">
        <is>
          <t>Live Coach</t>
        </is>
      </c>
      <c r="F5" s="27" t="inlineStr">
        <is>
          <t>Shreya Patil</t>
        </is>
      </c>
      <c r="G5" s="27" t="inlineStr">
        <is>
          <t>Critical</t>
        </is>
      </c>
      <c r="H5" s="27" t="inlineStr">
        <is>
          <t>Completed</t>
        </is>
      </c>
      <c r="I5" s="27" t="n">
        <v>9</v>
      </c>
      <c r="J5" s="27" t="n">
        <v>8</v>
      </c>
      <c r="K5" s="27" t="n">
        <v>1</v>
      </c>
      <c r="L5" s="27" t="n">
        <v>22.5</v>
      </c>
      <c r="M5" s="27" t="n">
        <v>17.6</v>
      </c>
      <c r="N5" s="27" t="inlineStr">
        <is>
          <t>Critical</t>
        </is>
      </c>
      <c r="O5" s="27" t="inlineStr">
        <is>
          <t>Auth, Billing credits, Deepgram</t>
        </is>
      </c>
      <c r="P5" s="27" t="inlineStr">
        <is>
          <t>Seeded from audit 28 Jul 2026</t>
        </is>
      </c>
    </row>
    <row r="6">
      <c r="A6" s="29" t="inlineStr">
        <is>
          <t>MOD-04</t>
        </is>
      </c>
      <c r="B6" s="29" t="inlineStr">
        <is>
          <t>Mock Interview</t>
        </is>
      </c>
      <c r="C6" s="29" t="inlineStr">
        <is>
          <t>Candidate App</t>
        </is>
      </c>
      <c r="D6" s="29" t="inlineStr">
        <is>
          <t>Timed mock sessions with AI scoring</t>
        </is>
      </c>
      <c r="E6" s="29" t="inlineStr">
        <is>
          <t>Live Coach</t>
        </is>
      </c>
      <c r="F6" s="29" t="inlineStr">
        <is>
          <t>Shreya Patil</t>
        </is>
      </c>
      <c r="G6" s="29" t="inlineStr">
        <is>
          <t>High</t>
        </is>
      </c>
      <c r="H6" s="29" t="inlineStr">
        <is>
          <t>In Progress</t>
        </is>
      </c>
      <c r="I6" s="29" t="n">
        <v>3</v>
      </c>
      <c r="J6" s="29" t="n">
        <v>1</v>
      </c>
      <c r="K6" s="29" t="n">
        <v>2</v>
      </c>
      <c r="L6" s="29" t="n">
        <v>7.5</v>
      </c>
      <c r="M6" s="29" t="n">
        <v>2.2</v>
      </c>
      <c r="N6" s="29" t="inlineStr">
        <is>
          <t>High</t>
        </is>
      </c>
      <c r="O6" s="29" t="inlineStr">
        <is>
          <t>Sessions, Credits</t>
        </is>
      </c>
      <c r="P6" s="29" t="inlineStr">
        <is>
          <t>Seeded from audit 28 Jul 2026</t>
        </is>
      </c>
    </row>
    <row r="7">
      <c r="A7" s="27" t="inlineStr">
        <is>
          <t>MOD-05</t>
        </is>
      </c>
      <c r="B7" s="27" t="inlineStr">
        <is>
          <t>Sessions &amp; Debriefs</t>
        </is>
      </c>
      <c r="C7" s="27" t="inlineStr">
        <is>
          <t>Candidate App</t>
        </is>
      </c>
      <c r="D7" s="27" t="inlineStr">
        <is>
          <t>History, detail, AI debrief, scorecard share</t>
        </is>
      </c>
      <c r="E7" s="27" t="inlineStr">
        <is>
          <t>Sessions</t>
        </is>
      </c>
      <c r="F7" s="27" t="inlineStr">
        <is>
          <t>Shreya Patil</t>
        </is>
      </c>
      <c r="G7" s="27" t="inlineStr">
        <is>
          <t>High</t>
        </is>
      </c>
      <c r="H7" s="27" t="inlineStr">
        <is>
          <t>Completed</t>
        </is>
      </c>
      <c r="I7" s="27" t="n">
        <v>5</v>
      </c>
      <c r="J7" s="27" t="n">
        <v>5</v>
      </c>
      <c r="K7" s="27" t="n">
        <v>0</v>
      </c>
      <c r="L7" s="27" t="n">
        <v>12.5</v>
      </c>
      <c r="M7" s="27" t="n">
        <v>11</v>
      </c>
      <c r="N7" s="27" t="inlineStr">
        <is>
          <t>High</t>
        </is>
      </c>
      <c r="O7" s="27" t="inlineStr">
        <is>
          <t>—</t>
        </is>
      </c>
      <c r="P7" s="27" t="inlineStr">
        <is>
          <t>Seeded from audit 28 Jul 2026</t>
        </is>
      </c>
    </row>
    <row r="8">
      <c r="A8" s="29" t="inlineStr">
        <is>
          <t>MOD-06</t>
        </is>
      </c>
      <c r="B8" s="29" t="inlineStr">
        <is>
          <t>Analytics &amp; Usage</t>
        </is>
      </c>
      <c r="C8" s="29" t="inlineStr">
        <is>
          <t>Candidate App</t>
        </is>
      </c>
      <c r="D8" s="29" t="inlineStr">
        <is>
          <t>Trends, WPM, fillers, credit usage</t>
        </is>
      </c>
      <c r="E8" s="29" t="inlineStr">
        <is>
          <t>Analytics</t>
        </is>
      </c>
      <c r="F8" s="29" t="inlineStr">
        <is>
          <t>Raj Balani</t>
        </is>
      </c>
      <c r="G8" s="29" t="inlineStr">
        <is>
          <t>Medium</t>
        </is>
      </c>
      <c r="H8" s="29" t="inlineStr">
        <is>
          <t>Completed</t>
        </is>
      </c>
      <c r="I8" s="29" t="n">
        <v>2</v>
      </c>
      <c r="J8" s="29" t="n">
        <v>2</v>
      </c>
      <c r="K8" s="29" t="n">
        <v>0</v>
      </c>
      <c r="L8" s="29" t="n">
        <v>5</v>
      </c>
      <c r="M8" s="29" t="n">
        <v>4.4</v>
      </c>
      <c r="N8" s="29" t="inlineStr">
        <is>
          <t>Medium</t>
        </is>
      </c>
      <c r="O8" s="29" t="inlineStr">
        <is>
          <t>—</t>
        </is>
      </c>
      <c r="P8" s="29" t="inlineStr">
        <is>
          <t>Seeded from audit 28 Jul 2026</t>
        </is>
      </c>
    </row>
    <row r="9">
      <c r="A9" s="27" t="inlineStr">
        <is>
          <t>MOD-07</t>
        </is>
      </c>
      <c r="B9" s="27" t="inlineStr">
        <is>
          <t>Prep Lab</t>
        </is>
      </c>
      <c r="C9" s="27" t="inlineStr">
        <is>
          <t>Candidate App</t>
        </is>
      </c>
      <c r="D9" s="27" t="inlineStr">
        <is>
          <t>STAR, rephraser, polish, company Qs</t>
        </is>
      </c>
      <c r="E9" s="27" t="inlineStr">
        <is>
          <t>Prep</t>
        </is>
      </c>
      <c r="F9" s="27" t="inlineStr">
        <is>
          <t>Raj Balani</t>
        </is>
      </c>
      <c r="G9" s="27" t="inlineStr">
        <is>
          <t>High</t>
        </is>
      </c>
      <c r="H9" s="27" t="inlineStr">
        <is>
          <t>Completed</t>
        </is>
      </c>
      <c r="I9" s="27" t="n">
        <v>7</v>
      </c>
      <c r="J9" s="27" t="n">
        <v>7</v>
      </c>
      <c r="K9" s="27" t="n">
        <v>0</v>
      </c>
      <c r="L9" s="27" t="n">
        <v>17.5</v>
      </c>
      <c r="M9" s="27" t="n">
        <v>15.4</v>
      </c>
      <c r="N9" s="27" t="inlineStr">
        <is>
          <t>High</t>
        </is>
      </c>
      <c r="O9" s="27" t="inlineStr">
        <is>
          <t>—</t>
        </is>
      </c>
      <c r="P9" s="27" t="inlineStr">
        <is>
          <t>Seeded from audit 28 Jul 2026</t>
        </is>
      </c>
    </row>
    <row r="10">
      <c r="A10" s="29" t="inlineStr">
        <is>
          <t>MOD-08</t>
        </is>
      </c>
      <c r="B10" s="29" t="inlineStr">
        <is>
          <t>Documents &amp; Resumes</t>
        </is>
      </c>
      <c r="C10" s="29" t="inlineStr">
        <is>
          <t>Candidate App</t>
        </is>
      </c>
      <c r="D10" s="29" t="inlineStr">
        <is>
          <t>Upload, parse-resume, gap analysis, OCR</t>
        </is>
      </c>
      <c r="E10" s="29" t="inlineStr">
        <is>
          <t>Docs</t>
        </is>
      </c>
      <c r="F10" s="29" t="inlineStr">
        <is>
          <t>Shreya Patil</t>
        </is>
      </c>
      <c r="G10" s="29" t="inlineStr">
        <is>
          <t>High</t>
        </is>
      </c>
      <c r="H10" s="29" t="inlineStr">
        <is>
          <t>Completed</t>
        </is>
      </c>
      <c r="I10" s="29" t="n">
        <v>5</v>
      </c>
      <c r="J10" s="29" t="n">
        <v>5</v>
      </c>
      <c r="K10" s="29" t="n">
        <v>0</v>
      </c>
      <c r="L10" s="29" t="n">
        <v>12.5</v>
      </c>
      <c r="M10" s="29" t="n">
        <v>11</v>
      </c>
      <c r="N10" s="29" t="inlineStr">
        <is>
          <t>High</t>
        </is>
      </c>
      <c r="O10" s="29" t="inlineStr">
        <is>
          <t>Credits (parse-resume)</t>
        </is>
      </c>
      <c r="P10" s="29" t="inlineStr">
        <is>
          <t>Seeded from audit 28 Jul 2026</t>
        </is>
      </c>
    </row>
    <row r="11">
      <c r="A11" s="27" t="inlineStr">
        <is>
          <t>MOD-09</t>
        </is>
      </c>
      <c r="B11" s="27" t="inlineStr">
        <is>
          <t>Answer Bank</t>
        </is>
      </c>
      <c r="C11" s="27" t="inlineStr">
        <is>
          <t>Candidate App</t>
        </is>
      </c>
      <c r="D11" s="27" t="inlineStr">
        <is>
          <t>STAR library + AI generate via prep-tool</t>
        </is>
      </c>
      <c r="E11" s="27" t="inlineStr">
        <is>
          <t>Prep</t>
        </is>
      </c>
      <c r="F11" s="27" t="inlineStr">
        <is>
          <t>Raj Balani</t>
        </is>
      </c>
      <c r="G11" s="27" t="inlineStr">
        <is>
          <t>Medium</t>
        </is>
      </c>
      <c r="H11" s="27" t="inlineStr">
        <is>
          <t>In Progress</t>
        </is>
      </c>
      <c r="I11" s="27" t="n">
        <v>2</v>
      </c>
      <c r="J11" s="27" t="n">
        <v>2</v>
      </c>
      <c r="K11" s="27" t="n">
        <v>0</v>
      </c>
      <c r="L11" s="27" t="n">
        <v>5</v>
      </c>
      <c r="M11" s="27" t="n">
        <v>4.4</v>
      </c>
      <c r="N11" s="27" t="inlineStr">
        <is>
          <t>Medium</t>
        </is>
      </c>
      <c r="O11" s="27" t="inlineStr">
        <is>
          <t>—</t>
        </is>
      </c>
      <c r="P11" s="27" t="inlineStr">
        <is>
          <t>Seeded from audit 28 Jul 2026</t>
        </is>
      </c>
    </row>
    <row r="12">
      <c r="A12" s="29" t="inlineStr">
        <is>
          <t>MOD-10</t>
        </is>
      </c>
      <c r="B12" s="29" t="inlineStr">
        <is>
          <t>Interviews &amp; Calendar</t>
        </is>
      </c>
      <c r="C12" s="29" t="inlineStr">
        <is>
          <t>Candidate App</t>
        </is>
      </c>
      <c r="D12" s="29" t="inlineStr">
        <is>
          <t>Manual interviews + Google Calendar sync</t>
        </is>
      </c>
      <c r="E12" s="29" t="inlineStr">
        <is>
          <t>Scheduling</t>
        </is>
      </c>
      <c r="F12" s="29" t="inlineStr">
        <is>
          <t>Raj Balani</t>
        </is>
      </c>
      <c r="G12" s="29" t="inlineStr">
        <is>
          <t>High</t>
        </is>
      </c>
      <c r="H12" s="29" t="inlineStr">
        <is>
          <t>In Progress</t>
        </is>
      </c>
      <c r="I12" s="29" t="n">
        <v>6</v>
      </c>
      <c r="J12" s="29" t="n">
        <v>4</v>
      </c>
      <c r="K12" s="29" t="n">
        <v>2</v>
      </c>
      <c r="L12" s="29" t="n">
        <v>15</v>
      </c>
      <c r="M12" s="29" t="n">
        <v>8.800000000000001</v>
      </c>
      <c r="N12" s="29" t="inlineStr">
        <is>
          <t>High</t>
        </is>
      </c>
      <c r="O12" s="29" t="inlineStr">
        <is>
          <t>—</t>
        </is>
      </c>
      <c r="P12" s="29" t="inlineStr">
        <is>
          <t>Seeded from audit 28 Jul 2026</t>
        </is>
      </c>
    </row>
    <row r="13">
      <c r="A13" s="27" t="inlineStr">
        <is>
          <t>MOD-11</t>
        </is>
      </c>
      <c r="B13" s="27" t="inlineStr">
        <is>
          <t>Company Research</t>
        </is>
      </c>
      <c r="C13" s="27" t="inlineStr">
        <is>
          <t>Candidate App</t>
        </is>
      </c>
      <c r="D13" s="27" t="inlineStr">
        <is>
          <t>AI company brief + per-user cache</t>
        </is>
      </c>
      <c r="E13" s="27" t="inlineStr">
        <is>
          <t>Prep</t>
        </is>
      </c>
      <c r="F13" s="27" t="inlineStr">
        <is>
          <t>Raj Balani</t>
        </is>
      </c>
      <c r="G13" s="27" t="inlineStr">
        <is>
          <t>Medium</t>
        </is>
      </c>
      <c r="H13" s="27" t="inlineStr">
        <is>
          <t>Completed</t>
        </is>
      </c>
      <c r="I13" s="27" t="n">
        <v>1</v>
      </c>
      <c r="J13" s="27" t="n">
        <v>1</v>
      </c>
      <c r="K13" s="27" t="n">
        <v>0</v>
      </c>
      <c r="L13" s="27" t="n">
        <v>2.5</v>
      </c>
      <c r="M13" s="27" t="n">
        <v>2.2</v>
      </c>
      <c r="N13" s="27" t="inlineStr">
        <is>
          <t>Medium</t>
        </is>
      </c>
      <c r="O13" s="27" t="inlineStr">
        <is>
          <t>—</t>
        </is>
      </c>
      <c r="P13" s="27" t="inlineStr">
        <is>
          <t>Seeded from audit 28 Jul 2026</t>
        </is>
      </c>
    </row>
    <row r="14">
      <c r="A14" s="29" t="inlineStr">
        <is>
          <t>MOD-12</t>
        </is>
      </c>
      <c r="B14" s="29" t="inlineStr">
        <is>
          <t>Notifications &amp; Profile</t>
        </is>
      </c>
      <c r="C14" s="29" t="inlineStr">
        <is>
          <t>Candidate App</t>
        </is>
      </c>
      <c r="D14" s="29" t="inlineStr">
        <is>
          <t>Realtime notifications, XP/streak/badges</t>
        </is>
      </c>
      <c r="E14" s="29" t="inlineStr">
        <is>
          <t>Growth</t>
        </is>
      </c>
      <c r="F14" s="29" t="inlineStr">
        <is>
          <t>Raj Balani</t>
        </is>
      </c>
      <c r="G14" s="29" t="inlineStr">
        <is>
          <t>Medium</t>
        </is>
      </c>
      <c r="H14" s="29" t="inlineStr">
        <is>
          <t>In Progress</t>
        </is>
      </c>
      <c r="I14" s="29" t="n">
        <v>5</v>
      </c>
      <c r="J14" s="29" t="n">
        <v>4</v>
      </c>
      <c r="K14" s="29" t="n">
        <v>1</v>
      </c>
      <c r="L14" s="29" t="n">
        <v>12.5</v>
      </c>
      <c r="M14" s="29" t="n">
        <v>8.800000000000001</v>
      </c>
      <c r="N14" s="29" t="inlineStr">
        <is>
          <t>Medium</t>
        </is>
      </c>
      <c r="O14" s="29" t="inlineStr">
        <is>
          <t>—</t>
        </is>
      </c>
      <c r="P14" s="29" t="inlineStr">
        <is>
          <t>Seeded from audit 28 Jul 2026</t>
        </is>
      </c>
    </row>
    <row r="15">
      <c r="A15" s="27" t="inlineStr">
        <is>
          <t>MOD-13</t>
        </is>
      </c>
      <c r="B15" s="27" t="inlineStr">
        <is>
          <t>Referrals &amp; Guide</t>
        </is>
      </c>
      <c r="C15" s="27" t="inlineStr">
        <is>
          <t>Candidate App</t>
        </is>
      </c>
      <c r="D15" s="27" t="inlineStr">
        <is>
          <t>Referral credits + in-app guide</t>
        </is>
      </c>
      <c r="E15" s="27" t="inlineStr">
        <is>
          <t>Growth</t>
        </is>
      </c>
      <c r="F15" s="27" t="inlineStr">
        <is>
          <t>Raj Balani</t>
        </is>
      </c>
      <c r="G15" s="27" t="inlineStr">
        <is>
          <t>Low</t>
        </is>
      </c>
      <c r="H15" s="27" t="inlineStr">
        <is>
          <t>Completed</t>
        </is>
      </c>
      <c r="I15" s="27" t="n">
        <v>2</v>
      </c>
      <c r="J15" s="27" t="n">
        <v>2</v>
      </c>
      <c r="K15" s="27" t="n">
        <v>0</v>
      </c>
      <c r="L15" s="27" t="n">
        <v>5</v>
      </c>
      <c r="M15" s="27" t="n">
        <v>4.4</v>
      </c>
      <c r="N15" s="27" t="inlineStr">
        <is>
          <t>Low</t>
        </is>
      </c>
      <c r="O15" s="27" t="inlineStr">
        <is>
          <t>—</t>
        </is>
      </c>
      <c r="P15" s="27" t="inlineStr">
        <is>
          <t>Seeded from audit 28 Jul 2026</t>
        </is>
      </c>
    </row>
    <row r="16">
      <c r="A16" s="29" t="inlineStr">
        <is>
          <t>MOD-14</t>
        </is>
      </c>
      <c r="B16" s="29" t="inlineStr">
        <is>
          <t>Gov Exam Mock Tests</t>
        </is>
      </c>
      <c r="C16" s="29" t="inlineStr">
        <is>
          <t>Candidate App</t>
        </is>
      </c>
      <c r="D16" s="29" t="inlineStr">
        <is>
          <t>India gov/competitive MCQ engine</t>
        </is>
      </c>
      <c r="E16" s="29" t="inlineStr">
        <is>
          <t>GovExams</t>
        </is>
      </c>
      <c r="F16" s="29" t="inlineStr">
        <is>
          <t>Raj Balani</t>
        </is>
      </c>
      <c r="G16" s="29" t="inlineStr">
        <is>
          <t>Critical</t>
        </is>
      </c>
      <c r="H16" s="29" t="inlineStr">
        <is>
          <t>In Progress</t>
        </is>
      </c>
      <c r="I16" s="29" t="n">
        <v>11</v>
      </c>
      <c r="J16" s="29" t="n">
        <v>8</v>
      </c>
      <c r="K16" s="29" t="n">
        <v>3</v>
      </c>
      <c r="L16" s="29" t="n">
        <v>27.5</v>
      </c>
      <c r="M16" s="29" t="n">
        <v>17.6</v>
      </c>
      <c r="N16" s="29" t="inlineStr">
        <is>
          <t>Critical</t>
        </is>
      </c>
      <c r="O16" s="29" t="inlineStr">
        <is>
          <t>Admin question bank</t>
        </is>
      </c>
      <c r="P16" s="29" t="inlineStr">
        <is>
          <t>Seeded from audit 28 Jul 2026</t>
        </is>
      </c>
    </row>
    <row r="17">
      <c r="A17" s="27" t="inlineStr">
        <is>
          <t>MOD-15</t>
        </is>
      </c>
      <c r="B17" s="27" t="inlineStr">
        <is>
          <t>Settings</t>
        </is>
      </c>
      <c r="C17" s="27" t="inlineStr">
        <is>
          <t>Candidate App</t>
        </is>
      </c>
      <c r="D17" s="27" t="inlineStr">
        <is>
          <t>Billing, audio, models, security, integrations</t>
        </is>
      </c>
      <c r="E17" s="27" t="inlineStr">
        <is>
          <t>Platform</t>
        </is>
      </c>
      <c r="F17" s="27" t="inlineStr">
        <is>
          <t>Raj Balani</t>
        </is>
      </c>
      <c r="G17" s="27" t="inlineStr">
        <is>
          <t>High</t>
        </is>
      </c>
      <c r="H17" s="27" t="inlineStr">
        <is>
          <t>In Progress</t>
        </is>
      </c>
      <c r="I17" s="27" t="n">
        <v>9</v>
      </c>
      <c r="J17" s="27" t="n">
        <v>6</v>
      </c>
      <c r="K17" s="27" t="n">
        <v>3</v>
      </c>
      <c r="L17" s="27" t="n">
        <v>22.5</v>
      </c>
      <c r="M17" s="27" t="n">
        <v>13.2</v>
      </c>
      <c r="N17" s="27" t="inlineStr">
        <is>
          <t>High</t>
        </is>
      </c>
      <c r="O17" s="27" t="inlineStr">
        <is>
          <t>—</t>
        </is>
      </c>
      <c r="P17" s="27" t="inlineStr">
        <is>
          <t>Seeded from audit 28 Jul 2026</t>
        </is>
      </c>
    </row>
    <row r="18">
      <c r="A18" s="29" t="inlineStr">
        <is>
          <t>MOD-16</t>
        </is>
      </c>
      <c r="B18" s="29" t="inlineStr">
        <is>
          <t>Admin Portal</t>
        </is>
      </c>
      <c r="C18" s="29" t="inlineStr">
        <is>
          <t>Admin Portal</t>
        </is>
      </c>
      <c r="D18" s="29" t="inlineStr">
        <is>
          <t>Users, revenue, questions, flags, support</t>
        </is>
      </c>
      <c r="E18" s="29" t="inlineStr">
        <is>
          <t>Admin</t>
        </is>
      </c>
      <c r="F18" s="29" t="inlineStr">
        <is>
          <t>Raj Balani</t>
        </is>
      </c>
      <c r="G18" s="29" t="inlineStr">
        <is>
          <t>Critical</t>
        </is>
      </c>
      <c r="H18" s="29" t="inlineStr">
        <is>
          <t>In Progress</t>
        </is>
      </c>
      <c r="I18" s="29" t="n">
        <v>14</v>
      </c>
      <c r="J18" s="29" t="n">
        <v>13</v>
      </c>
      <c r="K18" s="29" t="n">
        <v>1</v>
      </c>
      <c r="L18" s="29" t="n">
        <v>35</v>
      </c>
      <c r="M18" s="29" t="n">
        <v>28.6</v>
      </c>
      <c r="N18" s="29" t="inlineStr">
        <is>
          <t>Critical</t>
        </is>
      </c>
      <c r="O18" s="29" t="inlineStr">
        <is>
          <t>RLS admin role</t>
        </is>
      </c>
      <c r="P18" s="29" t="inlineStr">
        <is>
          <t>Seeded from audit 28 Jul 2026</t>
        </is>
      </c>
    </row>
    <row r="19">
      <c r="A19" s="27" t="inlineStr">
        <is>
          <t>MOD-17</t>
        </is>
      </c>
      <c r="B19" s="27" t="inlineStr">
        <is>
          <t>Marketing Site</t>
        </is>
      </c>
      <c r="C19" s="27" t="inlineStr">
        <is>
          <t>Marketing Portal</t>
        </is>
      </c>
      <c r="D19" s="27" t="inlineStr">
        <is>
          <t>Landing, pricing, blog, help, legal</t>
        </is>
      </c>
      <c r="E19" s="27" t="inlineStr">
        <is>
          <t>Growth</t>
        </is>
      </c>
      <c r="F19" s="27" t="inlineStr">
        <is>
          <t>Shreya Patil</t>
        </is>
      </c>
      <c r="G19" s="27" t="inlineStr">
        <is>
          <t>Medium</t>
        </is>
      </c>
      <c r="H19" s="27" t="inlineStr">
        <is>
          <t>Completed</t>
        </is>
      </c>
      <c r="I19" s="27" t="n">
        <v>2</v>
      </c>
      <c r="J19" s="27" t="n">
        <v>2</v>
      </c>
      <c r="K19" s="27" t="n">
        <v>0</v>
      </c>
      <c r="L19" s="27" t="n">
        <v>5</v>
      </c>
      <c r="M19" s="27" t="n">
        <v>4.4</v>
      </c>
      <c r="N19" s="27" t="inlineStr">
        <is>
          <t>Medium</t>
        </is>
      </c>
      <c r="O19" s="27" t="inlineStr">
        <is>
          <t>—</t>
        </is>
      </c>
      <c r="P19" s="27" t="inlineStr">
        <is>
          <t>Seeded from audit 28 Jul 2026</t>
        </is>
      </c>
    </row>
    <row r="20">
      <c r="A20" s="29" t="inlineStr">
        <is>
          <t>MOD-18</t>
        </is>
      </c>
      <c r="B20" s="29" t="inlineStr">
        <is>
          <t>Billing &amp; Credits</t>
        </is>
      </c>
      <c r="C20" s="29" t="inlineStr">
        <is>
          <t>Candidate App</t>
        </is>
      </c>
      <c r="D20" s="29" t="inlineStr">
        <is>
          <t>Stripe/Razorpay, packs, ledger, plan gates</t>
        </is>
      </c>
      <c r="E20" s="29" t="inlineStr">
        <is>
          <t>Billing</t>
        </is>
      </c>
      <c r="F20" s="29" t="inlineStr">
        <is>
          <t>Raj Balani</t>
        </is>
      </c>
      <c r="G20" s="29" t="inlineStr">
        <is>
          <t>Critical</t>
        </is>
      </c>
      <c r="H20" s="29" t="inlineStr">
        <is>
          <t>Completed</t>
        </is>
      </c>
      <c r="I20" s="29" t="n">
        <v>6</v>
      </c>
      <c r="J20" s="29" t="n">
        <v>4</v>
      </c>
      <c r="K20" s="29" t="n">
        <v>2</v>
      </c>
      <c r="L20" s="29" t="n">
        <v>15</v>
      </c>
      <c r="M20" s="29" t="n">
        <v>8.800000000000001</v>
      </c>
      <c r="N20" s="29" t="inlineStr">
        <is>
          <t>Critical</t>
        </is>
      </c>
      <c r="O20" s="29" t="inlineStr">
        <is>
          <t>Stripe/Razorpay secrets</t>
        </is>
      </c>
      <c r="P20" s="29" t="inlineStr">
        <is>
          <t>Seeded from audit 28 Jul 2026</t>
        </is>
      </c>
    </row>
    <row r="21">
      <c r="A21" s="27" t="inlineStr">
        <is>
          <t>MOD-19</t>
        </is>
      </c>
      <c r="B21" s="27" t="inlineStr">
        <is>
          <t>Electron Desktop Overlay</t>
        </is>
      </c>
      <c r="C21" s="27" t="inlineStr">
        <is>
          <t>Electron Overlay</t>
        </is>
      </c>
      <c r="D21" s="27" t="inlineStr">
        <is>
          <t>Always-on-top overlay, hotkeys, window state</t>
        </is>
      </c>
      <c r="E21" s="27" t="inlineStr">
        <is>
          <t>Desktop</t>
        </is>
      </c>
      <c r="F21" s="27" t="inlineStr">
        <is>
          <t>Shreya Patil</t>
        </is>
      </c>
      <c r="G21" s="27" t="inlineStr">
        <is>
          <t>Critical</t>
        </is>
      </c>
      <c r="H21" s="27" t="inlineStr">
        <is>
          <t>In Progress</t>
        </is>
      </c>
      <c r="I21" s="27" t="n">
        <v>5</v>
      </c>
      <c r="J21" s="27" t="n">
        <v>2</v>
      </c>
      <c r="K21" s="27" t="n">
        <v>3</v>
      </c>
      <c r="L21" s="27" t="n">
        <v>12.5</v>
      </c>
      <c r="M21" s="27" t="n">
        <v>4.4</v>
      </c>
      <c r="N21" s="27" t="inlineStr">
        <is>
          <t>Critical</t>
        </is>
      </c>
      <c r="O21" s="27" t="inlineStr">
        <is>
          <t>Live Practice Coach</t>
        </is>
      </c>
      <c r="P21" s="27" t="inlineStr">
        <is>
          <t>Seeded from audit 28 Jul 2026</t>
        </is>
      </c>
    </row>
    <row r="22">
      <c r="A22" s="29" t="inlineStr">
        <is>
          <t>MOD-20</t>
        </is>
      </c>
      <c r="B22" s="29" t="inlineStr">
        <is>
          <t>Security &amp; Platform</t>
        </is>
      </c>
      <c r="C22" s="29" t="inlineStr">
        <is>
          <t>All Portals</t>
        </is>
      </c>
      <c r="D22" s="29" t="inlineStr">
        <is>
          <t>RLS, webhooks, rate limits, CI, observability</t>
        </is>
      </c>
      <c r="E22" s="29" t="inlineStr">
        <is>
          <t>Platform</t>
        </is>
      </c>
      <c r="F22" s="29" t="inlineStr">
        <is>
          <t>Shreya Patil</t>
        </is>
      </c>
      <c r="G22" s="29" t="inlineStr">
        <is>
          <t>Critical</t>
        </is>
      </c>
      <c r="H22" s="29" t="inlineStr">
        <is>
          <t>In Progress</t>
        </is>
      </c>
      <c r="I22" s="29" t="n">
        <v>8</v>
      </c>
      <c r="J22" s="29" t="n">
        <v>4</v>
      </c>
      <c r="K22" s="29" t="n">
        <v>4</v>
      </c>
      <c r="L22" s="29" t="n">
        <v>20</v>
      </c>
      <c r="M22" s="29" t="n">
        <v>8.800000000000001</v>
      </c>
      <c r="N22" s="29" t="inlineStr">
        <is>
          <t>Critical</t>
        </is>
      </c>
      <c r="O22" s="29" t="inlineStr">
        <is>
          <t>—</t>
        </is>
      </c>
      <c r="P22" s="29" t="inlineStr">
        <is>
          <t>Seeded from audit 28 Jul 2026</t>
        </is>
      </c>
    </row>
    <row r="23">
      <c r="A23" s="36" t="inlineStr">
        <is>
          <t>TOTAL</t>
        </is>
      </c>
      <c r="B23" s="27" t="n"/>
      <c r="C23" s="27" t="n"/>
      <c r="D23" s="27" t="n"/>
      <c r="E23" s="27" t="n"/>
      <c r="F23" s="27" t="n"/>
      <c r="G23" s="27" t="n"/>
      <c r="H23" s="27" t="n"/>
      <c r="I23" s="36">
        <f>SUM(I3:I22)</f>
        <v/>
      </c>
      <c r="J23" s="36">
        <f>SUM(J3:J22)</f>
        <v/>
      </c>
      <c r="K23" s="36">
        <f>SUM(K3:K22)</f>
        <v/>
      </c>
      <c r="L23" s="36">
        <f>SUM(L3:L22)</f>
        <v/>
      </c>
      <c r="M23" s="36">
        <f>SUM(M3:M22)</f>
        <v/>
      </c>
      <c r="N23" s="27" t="n"/>
      <c r="O23" s="27" t="n"/>
      <c r="P23" s="27" t="n"/>
    </row>
  </sheetData>
  <autoFilter ref="A2:P23"/>
  <mergeCells count="1">
    <mergeCell ref="A1:H1"/>
  </mergeCells>
  <conditionalFormatting sqref="G3:G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N3:N500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conditionalFormatting sqref="H3:H500">
    <cfRule type="cellIs" priority="9" operator="equal" dxfId="4">
      <formula>"Pass"</formula>
    </cfRule>
    <cfRule type="cellIs" priority="10" operator="equal" dxfId="4">
      <formula>"PASS"</formula>
    </cfRule>
    <cfRule type="cellIs" priority="11" operator="equal" dxfId="4">
      <formula>"Yes"</formula>
    </cfRule>
    <cfRule type="cellIs" priority="12" operator="equal" dxfId="5">
      <formula>"Fail"</formula>
    </cfRule>
    <cfRule type="cellIs" priority="13" operator="equal" dxfId="5">
      <formula>"FAIL"</formula>
    </cfRule>
    <cfRule type="cellIs" priority="14" operator="equal" dxfId="5">
      <formula>"No"</formula>
    </cfRule>
    <cfRule type="cellIs" priority="15" operator="equal" dxfId="6">
      <formula>"In Progress"</formula>
    </cfRule>
    <cfRule type="cellIs" priority="16" operator="equal" dxfId="6">
      <formula>"Blocked"</formula>
    </cfRule>
    <cfRule type="cellIs" priority="17" operator="equal" dxfId="6">
      <formula>"Partial"</formula>
    </cfRule>
    <cfRule type="cellIs" priority="18" operator="equal" dxfId="7">
      <formula>"Not Started"</formula>
    </cfRule>
    <cfRule type="cellIs" priority="19" operator="equal" dxfId="7">
      <formula>"Not Run"</formula>
    </cfRule>
    <cfRule type="cellIs" priority="20" operator="equal" dxfId="7">
      <formula>"Not Tested"</formula>
    </cfRule>
    <cfRule type="cellIs" priority="21" operator="equal" dxfId="7">
      <formula>"N/A"</formula>
    </cfRule>
    <cfRule type="cellIs" priority="22" operator="equal" dxfId="8">
      <formula>"Completed"</formula>
    </cfRule>
    <cfRule type="cellIs" priority="23" operator="equal" dxfId="8">
      <formula>"Complete"</formula>
    </cfRule>
    <cfRule type="cellIs" priority="24" operator="equal" dxfId="8">
      <formula>"Passed"</formula>
    </cfRule>
    <cfRule type="cellIs" priority="25" operator="equal" dxfId="8">
      <formula>"Ready"</formula>
    </cfRule>
  </conditionalFormatting>
  <dataValidations count="6">
    <dataValidation sqref="C3:C5000" showDropDown="0" showInputMessage="0" showErrorMessage="0" allowBlank="1" errorTitle="Invalid" error="Pick a value from the list" type="list">
      <formula1>Lists!$AA$2:$AA$7</formula1>
    </dataValidation>
    <dataValidation sqref="E3:E5000" showDropDown="0" showInputMessage="0" showErrorMessage="0" allowBlank="1" errorTitle="Invalid" error="Pick a value from the list" type="list">
      <formula1>Lists!$AD$2:$AD$17</formula1>
    </dataValidation>
    <dataValidation sqref="F3:F5000" showDropDown="0" showInputMessage="0" showErrorMessage="0" allowBlank="1" errorTitle="Invalid" error="Pick a value from the list" type="list">
      <formula1>Lists!$AC$2:$AC$3</formula1>
    </dataValidation>
    <dataValidation sqref="G3:G5000" showDropDown="0" showInputMessage="0" showErrorMessage="0" allowBlank="1" errorTitle="Invalid" error="Pick a value from the list" type="list">
      <formula1>Lists!$C$2:$C$5</formula1>
    </dataValidation>
    <dataValidation sqref="H3:H5000" showDropDown="0" showInputMessage="0" showErrorMessage="0" allowBlank="1" errorTitle="Invalid" error="Pick a value from the list" type="list">
      <formula1>Lists!$AG$2:$AG$6</formula1>
    </dataValidation>
    <dataValidation sqref="N3:N5000" showDropDown="0" showInputMessage="0" showErrorMessage="0" allowBlank="1" errorTitle="Invalid" error="Pick a value from the list" type="list">
      <formula1>Lists!$M$2:$M$5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9" customWidth="1" min="3" max="3"/>
    <col width="36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3" customWidth="1" min="10" max="10"/>
    <col width="2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36" customWidth="1" min="19" max="19"/>
    <col width="18" customWidth="1" min="20" max="20"/>
    <col width="36" customWidth="1" min="21" max="21"/>
    <col width="36" customWidth="1" min="22" max="22"/>
    <col width="15" customWidth="1" min="23" max="23"/>
    <col width="24" customWidth="1" min="24" max="24"/>
    <col width="15" customWidth="1" min="25" max="25"/>
  </cols>
  <sheetData>
    <row r="1">
      <c r="A1" s="1" t="inlineStr">
        <is>
          <t>Feature Inventory — full Clarify AI catalogue (114 features)</t>
        </is>
      </c>
      <c r="J1" s="2" t="inlineStr">
        <is>
          <t>Dashboard</t>
        </is>
      </c>
      <c r="K1" s="2" t="inlineStr">
        <is>
          <t>NAV</t>
        </is>
      </c>
      <c r="L1" s="11" t="inlineStr">
        <is>
          <t>● 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Feature ID</t>
        </is>
      </c>
      <c r="B2" s="26" t="inlineStr">
        <is>
          <t>Module</t>
        </is>
      </c>
      <c r="C2" s="26" t="inlineStr">
        <is>
          <t>Feature Name</t>
        </is>
      </c>
      <c r="D2" s="26" t="inlineStr">
        <is>
          <t>Description</t>
        </is>
      </c>
      <c r="E2" s="26" t="inlineStr">
        <is>
          <t>Frontend</t>
        </is>
      </c>
      <c r="F2" s="26" t="inlineStr">
        <is>
          <t>Backend</t>
        </is>
      </c>
      <c r="G2" s="26" t="inlineStr">
        <is>
          <t>Database</t>
        </is>
      </c>
      <c r="H2" s="26" t="inlineStr">
        <is>
          <t>API</t>
        </is>
      </c>
      <c r="I2" s="26" t="inlineStr">
        <is>
          <t>Edge Function</t>
        </is>
      </c>
      <c r="J2" s="26" t="inlineStr">
        <is>
          <t>Status</t>
        </is>
      </c>
      <c r="K2" s="26" t="inlineStr">
        <is>
          <t>Implementation Status</t>
        </is>
      </c>
      <c r="L2" s="26" t="inlineStr">
        <is>
          <t>QA Status</t>
        </is>
      </c>
      <c r="M2" s="26" t="inlineStr">
        <is>
          <t>Priority</t>
        </is>
      </c>
      <c r="N2" s="26" t="inlineStr">
        <is>
          <t>Risk</t>
        </is>
      </c>
      <c r="O2" s="26" t="inlineStr">
        <is>
          <t>Owner</t>
        </is>
      </c>
      <c r="P2" s="26" t="inlineStr">
        <is>
          <t>QA Owner</t>
        </is>
      </c>
      <c r="Q2" s="26" t="inlineStr">
        <is>
          <t>Est Hours</t>
        </is>
      </c>
      <c r="R2" s="26" t="inlineStr">
        <is>
          <t>Actual Hours</t>
        </is>
      </c>
      <c r="S2" s="26" t="inlineStr">
        <is>
          <t>Comments</t>
        </is>
      </c>
      <c r="T2" s="26" t="inlineStr">
        <is>
          <t>Route</t>
        </is>
      </c>
      <c r="U2" s="26" t="inlineStr">
        <is>
          <t>Deep Link</t>
        </is>
      </c>
      <c r="V2" s="26" t="inlineStr">
        <is>
          <t>How it works</t>
        </is>
      </c>
      <c r="W2" s="26" t="inlineStr">
        <is>
          <t>Role required</t>
        </is>
      </c>
      <c r="X2" s="26" t="inlineStr">
        <is>
          <t>Credit cost</t>
        </is>
      </c>
      <c r="Y2" s="26" t="inlineStr">
        <is>
          <t>Blocking bugs</t>
        </is>
      </c>
    </row>
    <row r="3">
      <c r="A3" s="27" t="inlineStr">
        <is>
          <t>FEAT-001</t>
        </is>
      </c>
      <c r="B3" s="27" t="inlineStr">
        <is>
          <t>Auth &amp; Onboarding</t>
        </is>
      </c>
      <c r="C3" s="27" t="inlineStr">
        <is>
          <t>Email/password auth</t>
        </is>
      </c>
      <c r="D3" s="27" t="inlineStr">
        <is>
          <t>Signup/login with password</t>
        </is>
      </c>
      <c r="E3" s="27" t="inlineStr">
        <is>
          <t>Yes</t>
        </is>
      </c>
      <c r="F3" s="27" t="inlineStr">
        <is>
          <t>Yes</t>
        </is>
      </c>
      <c r="G3" s="27" t="inlineStr">
        <is>
          <t>Yes</t>
        </is>
      </c>
      <c r="H3" s="27" t="inlineStr">
        <is>
          <t>Yes</t>
        </is>
      </c>
      <c r="I3" s="27" t="inlineStr">
        <is>
          <t>N/A</t>
        </is>
      </c>
      <c r="J3" s="27" t="inlineStr">
        <is>
          <t>Completed</t>
        </is>
      </c>
      <c r="K3" s="27" t="inlineStr">
        <is>
          <t>Fully Implemented</t>
        </is>
      </c>
      <c r="L3" s="27" t="inlineStr">
        <is>
          <t>Passed</t>
        </is>
      </c>
      <c r="M3" s="27" t="inlineStr">
        <is>
          <t>Critical</t>
        </is>
      </c>
      <c r="N3" s="27" t="inlineStr">
        <is>
          <t>High</t>
        </is>
      </c>
      <c r="O3" s="27" t="inlineStr">
        <is>
          <t>Auth Lead</t>
        </is>
      </c>
      <c r="P3" s="27" t="inlineStr">
        <is>
          <t>Raj Balani</t>
        </is>
      </c>
      <c r="Q3" s="27" t="n">
        <v>2</v>
      </c>
      <c r="R3" s="27" t="n">
        <v>1.5</v>
      </c>
      <c r="S3" s="27" t="inlineStr"/>
      <c r="T3" s="27" t="inlineStr">
        <is>
          <t>/login</t>
        </is>
      </c>
      <c r="U3" s="27">
        <f>IFERROR(Environments!$B$3&amp;T3,T3)</f>
        <v/>
      </c>
      <c r="V3" s="27" t="inlineStr">
        <is>
          <t>Open /login. Exercise 'Email/password auth' (Signup/login with password). Confirm happy path for intended role; note plan gates and credit toasts.</t>
        </is>
      </c>
      <c r="W3" s="27" t="inlineStr">
        <is>
          <t>Free+</t>
        </is>
      </c>
      <c r="X3" s="27" t="inlineStr">
        <is>
          <t>0 / N/A</t>
        </is>
      </c>
      <c r="Y3" s="27" t="inlineStr"/>
    </row>
    <row r="4">
      <c r="A4" s="29" t="inlineStr">
        <is>
          <t>FEAT-002</t>
        </is>
      </c>
      <c r="B4" s="29" t="inlineStr">
        <is>
          <t>Auth &amp; Onboarding</t>
        </is>
      </c>
      <c r="C4" s="29" t="inlineStr">
        <is>
          <t>OAuth providers</t>
        </is>
      </c>
      <c r="D4" s="29" t="inlineStr">
        <is>
          <t>Google/GitHub/LinkedIn/Azure</t>
        </is>
      </c>
      <c r="E4" s="29" t="inlineStr">
        <is>
          <t>Yes</t>
        </is>
      </c>
      <c r="F4" s="29" t="inlineStr">
        <is>
          <t>Yes</t>
        </is>
      </c>
      <c r="G4" s="29" t="inlineStr">
        <is>
          <t>Yes</t>
        </is>
      </c>
      <c r="H4" s="29" t="inlineStr">
        <is>
          <t>Yes</t>
        </is>
      </c>
      <c r="I4" s="29" t="inlineStr">
        <is>
          <t>N/A</t>
        </is>
      </c>
      <c r="J4" s="29" t="inlineStr">
        <is>
          <t>Completed</t>
        </is>
      </c>
      <c r="K4" s="29" t="inlineStr">
        <is>
          <t>Fully Implemented</t>
        </is>
      </c>
      <c r="L4" s="29" t="inlineStr">
        <is>
          <t>In Testing</t>
        </is>
      </c>
      <c r="M4" s="29" t="inlineStr">
        <is>
          <t>Critical</t>
        </is>
      </c>
      <c r="N4" s="29" t="inlineStr">
        <is>
          <t>Medium</t>
        </is>
      </c>
      <c r="O4" s="29" t="inlineStr">
        <is>
          <t>Auth Lead</t>
        </is>
      </c>
      <c r="P4" s="29" t="inlineStr">
        <is>
          <t>Raj Balani</t>
        </is>
      </c>
      <c r="Q4" s="29" t="n">
        <v>3</v>
      </c>
      <c r="R4" s="29" t="n">
        <v>2</v>
      </c>
      <c r="S4" s="29" t="inlineStr">
        <is>
          <t>Provider enablement env-dependent</t>
        </is>
      </c>
      <c r="T4" s="29" t="inlineStr">
        <is>
          <t>/login</t>
        </is>
      </c>
      <c r="U4" s="29">
        <f>IFERROR(Environments!$B$3&amp;T4,T4)</f>
        <v/>
      </c>
      <c r="V4" s="29" t="inlineStr">
        <is>
          <t>Open /login. Exercise 'OAuth providers' (Google/GitHub/LinkedIn/Azure). Confirm happy path for intended role; note plan gates and credit toasts.</t>
        </is>
      </c>
      <c r="W4" s="29" t="inlineStr">
        <is>
          <t>Free+</t>
        </is>
      </c>
      <c r="X4" s="29" t="inlineStr">
        <is>
          <t>0 / N/A</t>
        </is>
      </c>
      <c r="Y4" s="29" t="inlineStr"/>
    </row>
    <row r="5">
      <c r="A5" s="27" t="inlineStr">
        <is>
          <t>FEAT-003</t>
        </is>
      </c>
      <c r="B5" s="27" t="inlineStr">
        <is>
          <t>Auth &amp; Onboarding</t>
        </is>
      </c>
      <c r="C5" s="27" t="inlineStr">
        <is>
          <t>Email verification</t>
        </is>
      </c>
      <c r="D5" s="27" t="inlineStr">
        <is>
          <t>Verify email flow</t>
        </is>
      </c>
      <c r="E5" s="27" t="inlineStr">
        <is>
          <t>Yes</t>
        </is>
      </c>
      <c r="F5" s="27" t="inlineStr">
        <is>
          <t>Yes</t>
        </is>
      </c>
      <c r="G5" s="27" t="inlineStr">
        <is>
          <t>Yes</t>
        </is>
      </c>
      <c r="H5" s="27" t="inlineStr">
        <is>
          <t>Yes</t>
        </is>
      </c>
      <c r="I5" s="27" t="inlineStr">
        <is>
          <t>N/A</t>
        </is>
      </c>
      <c r="J5" s="27" t="inlineStr">
        <is>
          <t>Completed</t>
        </is>
      </c>
      <c r="K5" s="27" t="inlineStr">
        <is>
          <t>Fully Implemented</t>
        </is>
      </c>
      <c r="L5" s="27" t="inlineStr">
        <is>
          <t>Passed</t>
        </is>
      </c>
      <c r="M5" s="27" t="inlineStr">
        <is>
          <t>High</t>
        </is>
      </c>
      <c r="N5" s="27" t="inlineStr">
        <is>
          <t>Medium</t>
        </is>
      </c>
      <c r="O5" s="27" t="inlineStr">
        <is>
          <t>Auth Lead</t>
        </is>
      </c>
      <c r="P5" s="27" t="inlineStr">
        <is>
          <t>Raj Balani</t>
        </is>
      </c>
      <c r="Q5" s="27" t="n">
        <v>1.5</v>
      </c>
      <c r="R5" s="27" t="n">
        <v>1</v>
      </c>
      <c r="S5" s="27" t="inlineStr"/>
      <c r="T5" s="27" t="inlineStr">
        <is>
          <t>/auth/verify</t>
        </is>
      </c>
      <c r="U5" s="27">
        <f>IFERROR(Environments!$B$3&amp;T5,T5)</f>
        <v/>
      </c>
      <c r="V5" s="27" t="inlineStr">
        <is>
          <t>Open /auth/verify. Exercise 'Email verification' (Verify email flow). Confirm happy path for intended role; note plan gates and credit toasts.</t>
        </is>
      </c>
      <c r="W5" s="27" t="inlineStr">
        <is>
          <t>Free+</t>
        </is>
      </c>
      <c r="X5" s="27" t="inlineStr">
        <is>
          <t>0 / N/A</t>
        </is>
      </c>
      <c r="Y5" s="27" t="inlineStr"/>
    </row>
    <row r="6">
      <c r="A6" s="29" t="inlineStr">
        <is>
          <t>FEAT-004</t>
        </is>
      </c>
      <c r="B6" s="29" t="inlineStr">
        <is>
          <t>Auth &amp; Onboarding</t>
        </is>
      </c>
      <c r="C6" s="29" t="inlineStr">
        <is>
          <t>Password reset</t>
        </is>
      </c>
      <c r="D6" s="29" t="inlineStr">
        <is>
          <t>Forgot/reset password</t>
        </is>
      </c>
      <c r="E6" s="29" t="inlineStr">
        <is>
          <t>Yes</t>
        </is>
      </c>
      <c r="F6" s="29" t="inlineStr">
        <is>
          <t>Yes</t>
        </is>
      </c>
      <c r="G6" s="29" t="inlineStr">
        <is>
          <t>Yes</t>
        </is>
      </c>
      <c r="H6" s="29" t="inlineStr">
        <is>
          <t>Yes</t>
        </is>
      </c>
      <c r="I6" s="29" t="inlineStr">
        <is>
          <t>N/A</t>
        </is>
      </c>
      <c r="J6" s="29" t="inlineStr">
        <is>
          <t>Completed</t>
        </is>
      </c>
      <c r="K6" s="29" t="inlineStr">
        <is>
          <t>Fully Implemented</t>
        </is>
      </c>
      <c r="L6" s="29" t="inlineStr">
        <is>
          <t>Passed</t>
        </is>
      </c>
      <c r="M6" s="29" t="inlineStr">
        <is>
          <t>High</t>
        </is>
      </c>
      <c r="N6" s="29" t="inlineStr">
        <is>
          <t>Medium</t>
        </is>
      </c>
      <c r="O6" s="29" t="inlineStr">
        <is>
          <t>Auth Lead</t>
        </is>
      </c>
      <c r="P6" s="29" t="inlineStr">
        <is>
          <t>Raj Balani</t>
        </is>
      </c>
      <c r="Q6" s="29" t="n">
        <v>1.5</v>
      </c>
      <c r="R6" s="29" t="n">
        <v>1</v>
      </c>
      <c r="S6" s="29" t="inlineStr"/>
      <c r="T6" s="29" t="inlineStr">
        <is>
          <t>/forgot-password</t>
        </is>
      </c>
      <c r="U6" s="29">
        <f>IFERROR(Environments!$B$3&amp;T6,T6)</f>
        <v/>
      </c>
      <c r="V6" s="29" t="inlineStr">
        <is>
          <t>Open /forgot-password. Exercise 'Password reset' (Forgot/reset password). Confirm happy path for intended role; note plan gates and credit toasts.</t>
        </is>
      </c>
      <c r="W6" s="29" t="inlineStr">
        <is>
          <t>Free+</t>
        </is>
      </c>
      <c r="X6" s="29" t="inlineStr">
        <is>
          <t>0 / N/A</t>
        </is>
      </c>
      <c r="Y6" s="29" t="inlineStr"/>
    </row>
    <row r="7">
      <c r="A7" s="27" t="inlineStr">
        <is>
          <t>FEAT-005</t>
        </is>
      </c>
      <c r="B7" s="27" t="inlineStr">
        <is>
          <t>Auth &amp; Onboarding</t>
        </is>
      </c>
      <c r="C7" s="27" t="inlineStr">
        <is>
          <t>TOTP MFA</t>
        </is>
      </c>
      <c r="D7" s="27" t="inlineStr">
        <is>
          <t>Enable/verify TOTP + login challenge</t>
        </is>
      </c>
      <c r="E7" s="27" t="inlineStr">
        <is>
          <t>Yes</t>
        </is>
      </c>
      <c r="F7" s="27" t="inlineStr">
        <is>
          <t>Yes</t>
        </is>
      </c>
      <c r="G7" s="27" t="inlineStr">
        <is>
          <t>Yes</t>
        </is>
      </c>
      <c r="H7" s="27" t="inlineStr">
        <is>
          <t>Yes</t>
        </is>
      </c>
      <c r="I7" s="27" t="inlineStr">
        <is>
          <t>N/A</t>
        </is>
      </c>
      <c r="J7" s="27" t="inlineStr">
        <is>
          <t>Completed</t>
        </is>
      </c>
      <c r="K7" s="27" t="inlineStr">
        <is>
          <t>Fully Implemented</t>
        </is>
      </c>
      <c r="L7" s="27" t="inlineStr">
        <is>
          <t>Ready</t>
        </is>
      </c>
      <c r="M7" s="27" t="inlineStr">
        <is>
          <t>High</t>
        </is>
      </c>
      <c r="N7" s="27" t="inlineStr">
        <is>
          <t>High</t>
        </is>
      </c>
      <c r="O7" s="27" t="inlineStr">
        <is>
          <t>Auth Lead</t>
        </is>
      </c>
      <c r="P7" s="27" t="inlineStr">
        <is>
          <t>Raj Balani</t>
        </is>
      </c>
      <c r="Q7" s="27" t="n">
        <v>3</v>
      </c>
      <c r="R7" s="27" t="n">
        <v>2.5</v>
      </c>
      <c r="S7" s="27" t="inlineStr">
        <is>
          <t>Login AAL2 challenge wired</t>
        </is>
      </c>
      <c r="T7" s="27" t="inlineStr">
        <is>
          <t>/login</t>
        </is>
      </c>
      <c r="U7" s="27">
        <f>IFERROR(Environments!$B$3&amp;T7,T7)</f>
        <v/>
      </c>
      <c r="V7" s="27" t="inlineStr">
        <is>
          <t>Open /login. Exercise 'TOTP MFA' (Enable/verify TOTP + login challenge). Confirm happy path for intended role; note plan gates and credit toasts.</t>
        </is>
      </c>
      <c r="W7" s="27" t="inlineStr">
        <is>
          <t>Free+</t>
        </is>
      </c>
      <c r="X7" s="27" t="inlineStr">
        <is>
          <t>0 / N/A</t>
        </is>
      </c>
      <c r="Y7" s="27" t="inlineStr"/>
    </row>
    <row r="8">
      <c r="A8" s="29" t="inlineStr">
        <is>
          <t>FEAT-006</t>
        </is>
      </c>
      <c r="B8" s="29" t="inlineStr">
        <is>
          <t>Auth &amp; Onboarding</t>
        </is>
      </c>
      <c r="C8" s="29" t="inlineStr">
        <is>
          <t>Account lockout</t>
        </is>
      </c>
      <c r="D8" s="29" t="inlineStr">
        <is>
          <t>Client lockout after failures</t>
        </is>
      </c>
      <c r="E8" s="29" t="inlineStr">
        <is>
          <t>Yes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Completed</t>
        </is>
      </c>
      <c r="K8" s="29" t="inlineStr">
        <is>
          <t>Fully Implemented</t>
        </is>
      </c>
      <c r="L8" s="29" t="inlineStr">
        <is>
          <t>Not Tested</t>
        </is>
      </c>
      <c r="M8" s="29" t="inlineStr">
        <is>
          <t>Medium</t>
        </is>
      </c>
      <c r="N8" s="29" t="inlineStr">
        <is>
          <t>Medium</t>
        </is>
      </c>
      <c r="O8" s="29" t="inlineStr">
        <is>
          <t>Auth Lead</t>
        </is>
      </c>
      <c r="P8" s="29" t="inlineStr">
        <is>
          <t>Raj Balani</t>
        </is>
      </c>
      <c r="Q8" s="29" t="n">
        <v>1</v>
      </c>
      <c r="R8" s="29" t="n">
        <v>0</v>
      </c>
      <c r="S8" s="29" t="inlineStr">
        <is>
          <t>localStorage based</t>
        </is>
      </c>
      <c r="T8" s="29" t="inlineStr">
        <is>
          <t>/login</t>
        </is>
      </c>
      <c r="U8" s="29">
        <f>IFERROR(Environments!$B$3&amp;T8,T8)</f>
        <v/>
      </c>
      <c r="V8" s="29" t="inlineStr">
        <is>
          <t>Open /login. Exercise 'Account lockout' (Client lockout after failures). Confirm happy path for intended role; note plan gates and credit toasts.</t>
        </is>
      </c>
      <c r="W8" s="29" t="inlineStr">
        <is>
          <t>Free+</t>
        </is>
      </c>
      <c r="X8" s="29" t="inlineStr">
        <is>
          <t>0 / N/A</t>
        </is>
      </c>
      <c r="Y8" s="29" t="inlineStr"/>
    </row>
    <row r="9">
      <c r="A9" s="27" t="inlineStr">
        <is>
          <t>FEAT-007</t>
        </is>
      </c>
      <c r="B9" s="27" t="inlineStr">
        <is>
          <t>Auth &amp; Onboarding</t>
        </is>
      </c>
      <c r="C9" s="27" t="inlineStr">
        <is>
          <t>Onboarding wizard 5 steps</t>
        </is>
      </c>
      <c r="D9" s="27" t="inlineStr">
        <is>
          <t>Collect profile/experience/audio/resume</t>
        </is>
      </c>
      <c r="E9" s="27" t="inlineStr">
        <is>
          <t>Yes</t>
        </is>
      </c>
      <c r="F9" s="27" t="inlineStr">
        <is>
          <t>Yes</t>
        </is>
      </c>
      <c r="G9" s="27" t="inlineStr">
        <is>
          <t>Yes</t>
        </is>
      </c>
      <c r="H9" s="27" t="inlineStr">
        <is>
          <t>Yes</t>
        </is>
      </c>
      <c r="I9" s="27" t="inlineStr">
        <is>
          <t>Yes</t>
        </is>
      </c>
      <c r="J9" s="27" t="inlineStr">
        <is>
          <t>In Progress</t>
        </is>
      </c>
      <c r="K9" s="27" t="inlineStr">
        <is>
          <t>Partial</t>
        </is>
      </c>
      <c r="L9" s="27" t="inlineStr">
        <is>
          <t>In Testing</t>
        </is>
      </c>
      <c r="M9" s="27" t="inlineStr">
        <is>
          <t>Critical</t>
        </is>
      </c>
      <c r="N9" s="27" t="inlineStr">
        <is>
          <t>High</t>
        </is>
      </c>
      <c r="O9" s="27" t="inlineStr">
        <is>
          <t>Auth Lead</t>
        </is>
      </c>
      <c r="P9" s="27" t="inlineStr">
        <is>
          <t>Shreya Patil</t>
        </is>
      </c>
      <c r="Q9" s="27" t="n">
        <v>5</v>
      </c>
      <c r="R9" s="27" t="n">
        <v>3</v>
      </c>
      <c r="S9" s="27" t="inlineStr">
        <is>
          <t>Mic+anxiety prefs now persist</t>
        </is>
      </c>
      <c r="T9" s="27" t="inlineStr">
        <is>
          <t>/login</t>
        </is>
      </c>
      <c r="U9" s="27">
        <f>IFERROR(Environments!$B$3&amp;T9,T9)</f>
        <v/>
      </c>
      <c r="V9" s="27" t="inlineStr">
        <is>
          <t>Open /login. Exercise 'Onboarding wizard 5 steps' (Collect profile/experience/audio/resume). Confirm happy path for intended role; note plan gates and credit toasts.</t>
        </is>
      </c>
      <c r="W9" s="27" t="inlineStr">
        <is>
          <t>Free+</t>
        </is>
      </c>
      <c r="X9" s="27" t="inlineStr">
        <is>
          <t>0 / N/A</t>
        </is>
      </c>
      <c r="Y9" s="27" t="inlineStr"/>
    </row>
    <row r="10">
      <c r="A10" s="29" t="inlineStr">
        <is>
          <t>FEAT-008</t>
        </is>
      </c>
      <c r="B10" s="29" t="inlineStr">
        <is>
          <t>Dashboard</t>
        </is>
      </c>
      <c r="C10" s="29" t="inlineStr">
        <is>
          <t>Home dashboard KPIs</t>
        </is>
      </c>
      <c r="D10" s="29" t="inlineStr">
        <is>
          <t>Sessions, credits, upcoming</t>
        </is>
      </c>
      <c r="E10" s="29" t="inlineStr">
        <is>
          <t>Yes</t>
        </is>
      </c>
      <c r="F10" s="29" t="inlineStr">
        <is>
          <t>Yes</t>
        </is>
      </c>
      <c r="G10" s="29" t="inlineStr">
        <is>
          <t>Yes</t>
        </is>
      </c>
      <c r="H10" s="29" t="inlineStr">
        <is>
          <t>Yes</t>
        </is>
      </c>
      <c r="I10" s="29" t="inlineStr">
        <is>
          <t>N/A</t>
        </is>
      </c>
      <c r="J10" s="29" t="inlineStr">
        <is>
          <t>Completed</t>
        </is>
      </c>
      <c r="K10" s="29" t="inlineStr">
        <is>
          <t>Fully Implemented</t>
        </is>
      </c>
      <c r="L10" s="29" t="inlineStr">
        <is>
          <t>Passed</t>
        </is>
      </c>
      <c r="M10" s="29" t="inlineStr">
        <is>
          <t>High</t>
        </is>
      </c>
      <c r="N10" s="29" t="inlineStr">
        <is>
          <t>Low</t>
        </is>
      </c>
      <c r="O10" s="29" t="inlineStr">
        <is>
          <t>Product</t>
        </is>
      </c>
      <c r="P10" s="29" t="inlineStr">
        <is>
          <t>Raj Balani</t>
        </is>
      </c>
      <c r="Q10" s="29" t="n">
        <v>2</v>
      </c>
      <c r="R10" s="29" t="n">
        <v>1.5</v>
      </c>
      <c r="S10" s="29" t="inlineStr"/>
      <c r="T10" s="29" t="inlineStr">
        <is>
          <t>/app/dashboard</t>
        </is>
      </c>
      <c r="U10" s="29">
        <f>IFERROR(Environments!$B$3&amp;T10,T10)</f>
        <v/>
      </c>
      <c r="V10" s="29" t="inlineStr">
        <is>
          <t>Open /app/dashboard. Exercise 'Home dashboard KPIs' (Sessions, credits, upcoming). Confirm happy path for intended role; note plan gates and credit toasts.</t>
        </is>
      </c>
      <c r="W10" s="29" t="inlineStr">
        <is>
          <t>Free+</t>
        </is>
      </c>
      <c r="X10" s="29" t="inlineStr">
        <is>
          <t>0 / N/A</t>
        </is>
      </c>
      <c r="Y10" s="29" t="inlineStr"/>
    </row>
    <row r="11">
      <c r="A11" s="27" t="inlineStr">
        <is>
          <t>FEAT-009</t>
        </is>
      </c>
      <c r="B11" s="27" t="inlineStr">
        <is>
          <t>Dashboard</t>
        </is>
      </c>
      <c r="C11" s="27" t="inlineStr">
        <is>
          <t>App routing guards</t>
        </is>
      </c>
      <c r="D11" s="27" t="inlineStr">
        <is>
          <t>ProtectedRoute + admin gates</t>
        </is>
      </c>
      <c r="E11" s="27" t="inlineStr">
        <is>
          <t>Yes</t>
        </is>
      </c>
      <c r="F11" s="27" t="inlineStr">
        <is>
          <t>Yes</t>
        </is>
      </c>
      <c r="G11" s="27" t="inlineStr">
        <is>
          <t>Yes</t>
        </is>
      </c>
      <c r="H11" s="27" t="inlineStr">
        <is>
          <t>N/A</t>
        </is>
      </c>
      <c r="I11" s="27" t="inlineStr">
        <is>
          <t>N/A</t>
        </is>
      </c>
      <c r="J11" s="27" t="inlineStr">
        <is>
          <t>Completed</t>
        </is>
      </c>
      <c r="K11" s="27" t="inlineStr">
        <is>
          <t>Fully Implemented</t>
        </is>
      </c>
      <c r="L11" s="27" t="inlineStr">
        <is>
          <t>Passed</t>
        </is>
      </c>
      <c r="M11" s="27" t="inlineStr">
        <is>
          <t>Critical</t>
        </is>
      </c>
      <c r="N11" s="27" t="inlineStr">
        <is>
          <t>High</t>
        </is>
      </c>
      <c r="O11" s="27" t="inlineStr">
        <is>
          <t>Platform</t>
        </is>
      </c>
      <c r="P11" s="27" t="inlineStr">
        <is>
          <t>Shreya Patil</t>
        </is>
      </c>
      <c r="Q11" s="27" t="n">
        <v>2</v>
      </c>
      <c r="R11" s="27" t="n">
        <v>1.5</v>
      </c>
      <c r="S11" s="27" t="inlineStr"/>
      <c r="T11" s="27" t="inlineStr">
        <is>
          <t>/app/dashboard</t>
        </is>
      </c>
      <c r="U11" s="27">
        <f>IFERROR(Environments!$B$3&amp;T11,T11)</f>
        <v/>
      </c>
      <c r="V11" s="27" t="inlineStr">
        <is>
          <t>Open /app/dashboard. Exercise 'App routing guards' (ProtectedRoute + admin gates). Confirm happy path for intended role; note plan gates and credit toasts.</t>
        </is>
      </c>
      <c r="W11" s="27" t="inlineStr">
        <is>
          <t>Free+</t>
        </is>
      </c>
      <c r="X11" s="27" t="inlineStr">
        <is>
          <t>0 / N/A</t>
        </is>
      </c>
      <c r="Y11" s="27" t="inlineStr"/>
    </row>
    <row r="12">
      <c r="A12" s="29" t="inlineStr">
        <is>
          <t>FEAT-010</t>
        </is>
      </c>
      <c r="B12" s="29" t="inlineStr">
        <is>
          <t>Dashboard</t>
        </is>
      </c>
      <c r="C12" s="29" t="inlineStr">
        <is>
          <t>In-app 404 NotFound</t>
        </is>
      </c>
      <c r="D12" s="29" t="inlineStr">
        <is>
          <t>/app/* splat catch-all</t>
        </is>
      </c>
      <c r="E12" s="29" t="inlineStr">
        <is>
          <t>Yes</t>
        </is>
      </c>
      <c r="F12" s="29" t="inlineStr">
        <is>
          <t>N/A</t>
        </is>
      </c>
      <c r="G12" s="29" t="inlineStr">
        <is>
          <t>N/A</t>
        </is>
      </c>
      <c r="H12" s="29" t="inlineStr">
        <is>
          <t>N/A</t>
        </is>
      </c>
      <c r="I12" s="29" t="inlineStr">
        <is>
          <t>N/A</t>
        </is>
      </c>
      <c r="J12" s="29" t="inlineStr">
        <is>
          <t>Completed</t>
        </is>
      </c>
      <c r="K12" s="29" t="inlineStr">
        <is>
          <t>Fully Implemented</t>
        </is>
      </c>
      <c r="L12" s="29" t="inlineStr">
        <is>
          <t>Passed</t>
        </is>
      </c>
      <c r="M12" s="29" t="inlineStr">
        <is>
          <t>Medium</t>
        </is>
      </c>
      <c r="N12" s="29" t="inlineStr">
        <is>
          <t>Low</t>
        </is>
      </c>
      <c r="O12" s="29" t="inlineStr">
        <is>
          <t>Product</t>
        </is>
      </c>
      <c r="P12" s="29" t="inlineStr">
        <is>
          <t>Raj Balani</t>
        </is>
      </c>
      <c r="Q12" s="29" t="n">
        <v>0.5</v>
      </c>
      <c r="R12" s="29" t="n">
        <v>0.25</v>
      </c>
      <c r="S12" s="29" t="inlineStr">
        <is>
          <t>P1-4 fixed</t>
        </is>
      </c>
      <c r="T12" s="29" t="inlineStr">
        <is>
          <t>/app/dashboard</t>
        </is>
      </c>
      <c r="U12" s="29">
        <f>IFERROR(Environments!$B$3&amp;T12,T12)</f>
        <v/>
      </c>
      <c r="V12" s="29" t="inlineStr">
        <is>
          <t>Open /app/dashboard. Exercise 'In-app 404 NotFound' (/app/* splat catch-all). Confirm happy path for intended role; note plan gates and credit toasts.</t>
        </is>
      </c>
      <c r="W12" s="29" t="inlineStr">
        <is>
          <t>Free+</t>
        </is>
      </c>
      <c r="X12" s="29" t="inlineStr">
        <is>
          <t>0 / N/A</t>
        </is>
      </c>
      <c r="Y12" s="29" t="inlineStr"/>
    </row>
    <row r="13">
      <c r="A13" s="27" t="inlineStr">
        <is>
          <t>FEAT-011</t>
        </is>
      </c>
      <c r="B13" s="27" t="inlineStr">
        <is>
          <t>Dashboard</t>
        </is>
      </c>
      <c r="C13" s="27" t="inlineStr">
        <is>
          <t>Mobile navigation</t>
        </is>
      </c>
      <c r="D13" s="27" t="inlineStr">
        <is>
          <t>Bottom nav destinations</t>
        </is>
      </c>
      <c r="E13" s="27" t="inlineStr">
        <is>
          <t>Yes</t>
        </is>
      </c>
      <c r="F13" s="27" t="inlineStr">
        <is>
          <t>N/A</t>
        </is>
      </c>
      <c r="G13" s="27" t="inlineStr">
        <is>
          <t>N/A</t>
        </is>
      </c>
      <c r="H13" s="27" t="inlineStr">
        <is>
          <t>N/A</t>
        </is>
      </c>
      <c r="I13" s="27" t="inlineStr">
        <is>
          <t>N/A</t>
        </is>
      </c>
      <c r="J13" s="27" t="inlineStr">
        <is>
          <t>Completed</t>
        </is>
      </c>
      <c r="K13" s="27" t="inlineStr">
        <is>
          <t>Fully Implemented</t>
        </is>
      </c>
      <c r="L13" s="27" t="inlineStr">
        <is>
          <t>Ready</t>
        </is>
      </c>
      <c r="M13" s="27" t="inlineStr">
        <is>
          <t>Medium</t>
        </is>
      </c>
      <c r="N13" s="27" t="inlineStr">
        <is>
          <t>Medium</t>
        </is>
      </c>
      <c r="O13" s="27" t="inlineStr">
        <is>
          <t>Product</t>
        </is>
      </c>
      <c r="P13" s="27" t="inlineStr">
        <is>
          <t>Raj Balani</t>
        </is>
      </c>
      <c r="Q13" s="27" t="n">
        <v>2</v>
      </c>
      <c r="R13" s="27" t="n">
        <v>2</v>
      </c>
      <c r="S13" s="27" t="inlineStr">
        <is>
          <t>Notifications/Guide/Profile/Admin in More</t>
        </is>
      </c>
      <c r="T13" s="27" t="inlineStr">
        <is>
          <t>/app/dashboard</t>
        </is>
      </c>
      <c r="U13" s="27">
        <f>IFERROR(Environments!$B$3&amp;T13,T13)</f>
        <v/>
      </c>
      <c r="V13" s="27" t="inlineStr">
        <is>
          <t>Mobile viewport → More sheet includes Usage and Interview Day matching sidebar.</t>
        </is>
      </c>
      <c r="W13" s="27" t="inlineStr">
        <is>
          <t>Free+</t>
        </is>
      </c>
      <c r="X13" s="27" t="inlineStr">
        <is>
          <t>0 / N/A</t>
        </is>
      </c>
      <c r="Y13" s="27" t="inlineStr"/>
    </row>
    <row r="14">
      <c r="A14" s="29" t="inlineStr">
        <is>
          <t>FEAT-012</t>
        </is>
      </c>
      <c r="B14" s="29" t="inlineStr">
        <is>
          <t>Dashboard</t>
        </is>
      </c>
      <c r="C14" s="29" t="inlineStr">
        <is>
          <t>Command palette</t>
        </is>
      </c>
      <c r="D14" s="29" t="inlineStr">
        <is>
          <t>Ctrl/Cmd+K search</t>
        </is>
      </c>
      <c r="E14" s="29" t="inlineStr">
        <is>
          <t>Yes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Completed</t>
        </is>
      </c>
      <c r="K14" s="29" t="inlineStr">
        <is>
          <t>Partial</t>
        </is>
      </c>
      <c r="L14" s="29" t="inlineStr">
        <is>
          <t>In Testing</t>
        </is>
      </c>
      <c r="M14" s="29" t="inlineStr">
        <is>
          <t>Low</t>
        </is>
      </c>
      <c r="N14" s="29" t="inlineStr">
        <is>
          <t>Low</t>
        </is>
      </c>
      <c r="O14" s="29" t="inlineStr">
        <is>
          <t>Product</t>
        </is>
      </c>
      <c r="P14" s="29" t="inlineStr">
        <is>
          <t>Raj Balani</t>
        </is>
      </c>
      <c r="Q14" s="29" t="n">
        <v>1</v>
      </c>
      <c r="R14" s="29" t="n">
        <v>0.5</v>
      </c>
      <c r="S14" s="29" t="inlineStr">
        <is>
          <t>Nav only</t>
        </is>
      </c>
      <c r="T14" s="29" t="inlineStr">
        <is>
          <t>/app/dashboard</t>
        </is>
      </c>
      <c r="U14" s="29">
        <f>IFERROR(Environments!$B$3&amp;T14,T14)</f>
        <v/>
      </c>
      <c r="V14" s="29" t="inlineStr">
        <is>
          <t>Open /app/dashboard. Exercise 'Command palette' (Ctrl/Cmd+K search). Confirm happy path for intended role; note plan gates and credit toasts.</t>
        </is>
      </c>
      <c r="W14" s="29" t="inlineStr">
        <is>
          <t>Free+</t>
        </is>
      </c>
      <c r="X14" s="29" t="inlineStr">
        <is>
          <t>0 / N/A</t>
        </is>
      </c>
      <c r="Y14" s="29" t="inlineStr"/>
    </row>
    <row r="15">
      <c r="A15" s="27" t="inlineStr">
        <is>
          <t>FEAT-013</t>
        </is>
      </c>
      <c r="B15" s="27" t="inlineStr">
        <is>
          <t>Live Practice Coach</t>
        </is>
      </c>
      <c r="C15" s="27" t="inlineStr">
        <is>
          <t>Live Practice Coach session</t>
        </is>
      </c>
      <c r="D15" s="27" t="inlineStr">
        <is>
          <t>Core live rehearsal loop</t>
        </is>
      </c>
      <c r="E15" s="27" t="inlineStr">
        <is>
          <t>Yes</t>
        </is>
      </c>
      <c r="F15" s="27" t="inlineStr">
        <is>
          <t>Yes</t>
        </is>
      </c>
      <c r="G15" s="27" t="inlineStr">
        <is>
          <t>Yes</t>
        </is>
      </c>
      <c r="H15" s="27" t="inlineStr">
        <is>
          <t>Yes</t>
        </is>
      </c>
      <c r="I15" s="27" t="inlineStr">
        <is>
          <t>Yes</t>
        </is>
      </c>
      <c r="J15" s="27" t="inlineStr">
        <is>
          <t>Completed</t>
        </is>
      </c>
      <c r="K15" s="27" t="inlineStr">
        <is>
          <t>Fully Implemented</t>
        </is>
      </c>
      <c r="L15" s="27" t="inlineStr">
        <is>
          <t>Passed</t>
        </is>
      </c>
      <c r="M15" s="27" t="inlineStr">
        <is>
          <t>Critical</t>
        </is>
      </c>
      <c r="N15" s="27" t="inlineStr">
        <is>
          <t>Critical</t>
        </is>
      </c>
      <c r="O15" s="27" t="inlineStr">
        <is>
          <t>Live Coach</t>
        </is>
      </c>
      <c r="P15" s="27" t="inlineStr">
        <is>
          <t>Shreya Patil</t>
        </is>
      </c>
      <c r="Q15" s="27" t="n">
        <v>8</v>
      </c>
      <c r="R15" s="27" t="n">
        <v>6</v>
      </c>
      <c r="S15" s="27" t="inlineStr"/>
      <c r="T15" s="27" t="inlineStr">
        <is>
          <t>/app/live</t>
        </is>
      </c>
      <c r="U15" s="27">
        <f>IFERROR(Environments!$B$3&amp;T15,T15)</f>
        <v/>
      </c>
      <c r="V15" s="27" t="inlineStr">
        <is>
          <t>Open /app/live. Exercise 'Live Practice Coach session' (Core live rehearsal loop). Confirm happy path for intended role; note plan gates and credit toasts.</t>
        </is>
      </c>
      <c r="W15" s="27" t="inlineStr">
        <is>
          <t>Free+</t>
        </is>
      </c>
      <c r="X15" s="27" t="inlineStr">
        <is>
          <t>0 / N/A</t>
        </is>
      </c>
      <c r="Y15" s="27" t="inlineStr"/>
    </row>
    <row r="16">
      <c r="A16" s="29" t="inlineStr">
        <is>
          <t>FEAT-014</t>
        </is>
      </c>
      <c r="B16" s="29" t="inlineStr">
        <is>
          <t>Live Practice Coach</t>
        </is>
      </c>
      <c r="C16" s="29" t="inlineStr">
        <is>
          <t>System/tab audio capture</t>
        </is>
      </c>
      <c r="D16" s="29" t="inlineStr">
        <is>
          <t>Chrome/Edge tab audio</t>
        </is>
      </c>
      <c r="E16" s="29" t="inlineStr">
        <is>
          <t>Yes</t>
        </is>
      </c>
      <c r="F16" s="29" t="inlineStr">
        <is>
          <t>N/A</t>
        </is>
      </c>
      <c r="G16" s="29" t="inlineStr">
        <is>
          <t>N/A</t>
        </is>
      </c>
      <c r="H16" s="29" t="inlineStr">
        <is>
          <t>N/A</t>
        </is>
      </c>
      <c r="I16" s="29" t="inlineStr">
        <is>
          <t>N/A</t>
        </is>
      </c>
      <c r="J16" s="29" t="inlineStr">
        <is>
          <t>Completed</t>
        </is>
      </c>
      <c r="K16" s="29" t="inlineStr">
        <is>
          <t>Fully Implemented</t>
        </is>
      </c>
      <c r="L16" s="29" t="inlineStr">
        <is>
          <t>Passed</t>
        </is>
      </c>
      <c r="M16" s="29" t="inlineStr">
        <is>
          <t>Critical</t>
        </is>
      </c>
      <c r="N16" s="29" t="inlineStr">
        <is>
          <t>High</t>
        </is>
      </c>
      <c r="O16" s="29" t="inlineStr">
        <is>
          <t>Live Coach</t>
        </is>
      </c>
      <c r="P16" s="29" t="inlineStr">
        <is>
          <t>Shreya Patil</t>
        </is>
      </c>
      <c r="Q16" s="29" t="n">
        <v>3</v>
      </c>
      <c r="R16" s="29" t="n">
        <v>2</v>
      </c>
      <c r="S16" s="29" t="inlineStr">
        <is>
          <t>Chrome/Edge only</t>
        </is>
      </c>
      <c r="T16" s="29" t="inlineStr">
        <is>
          <t>/app/live</t>
        </is>
      </c>
      <c r="U16" s="29">
        <f>IFERROR(Environments!$B$3&amp;T16,T16)</f>
        <v/>
      </c>
      <c r="V16" s="29" t="inlineStr">
        <is>
          <t>Open /app/live. Exercise 'System/tab audio capture' (Chrome/Edge tab audio). Confirm happy path for intended role; note plan gates and credit toasts.</t>
        </is>
      </c>
      <c r="W16" s="29" t="inlineStr">
        <is>
          <t>Free+</t>
        </is>
      </c>
      <c r="X16" s="29" t="inlineStr">
        <is>
          <t>0 / N/A</t>
        </is>
      </c>
      <c r="Y16" s="29" t="inlineStr"/>
    </row>
    <row r="17">
      <c r="A17" s="27" t="inlineStr">
        <is>
          <t>FEAT-015</t>
        </is>
      </c>
      <c r="B17" s="27" t="inlineStr">
        <is>
          <t>Live Practice Coach</t>
        </is>
      </c>
      <c r="C17" s="27" t="inlineStr">
        <is>
          <t>Deepgram streaming STT</t>
        </is>
      </c>
      <c r="D17" s="27" t="inlineStr">
        <is>
          <t>nova-2-meeting stream</t>
        </is>
      </c>
      <c r="E17" s="27" t="inlineStr">
        <is>
          <t>Yes</t>
        </is>
      </c>
      <c r="F17" s="27" t="inlineStr">
        <is>
          <t>Yes</t>
        </is>
      </c>
      <c r="G17" s="27" t="inlineStr">
        <is>
          <t>N/A</t>
        </is>
      </c>
      <c r="H17" s="27" t="inlineStr">
        <is>
          <t>Yes</t>
        </is>
      </c>
      <c r="I17" s="27" t="inlineStr">
        <is>
          <t>Yes</t>
        </is>
      </c>
      <c r="J17" s="27" t="inlineStr">
        <is>
          <t>Completed</t>
        </is>
      </c>
      <c r="K17" s="27" t="inlineStr">
        <is>
          <t>Fully Implemented</t>
        </is>
      </c>
      <c r="L17" s="27" t="inlineStr">
        <is>
          <t>Passed</t>
        </is>
      </c>
      <c r="M17" s="27" t="inlineStr">
        <is>
          <t>Critical</t>
        </is>
      </c>
      <c r="N17" s="27" t="inlineStr">
        <is>
          <t>Critical</t>
        </is>
      </c>
      <c r="O17" s="27" t="inlineStr">
        <is>
          <t>Live Coach</t>
        </is>
      </c>
      <c r="P17" s="27" t="inlineStr">
        <is>
          <t>Shreya Patil</t>
        </is>
      </c>
      <c r="Q17" s="27" t="n">
        <v>4</v>
      </c>
      <c r="R17" s="27" t="n">
        <v>3.5</v>
      </c>
      <c r="S17" s="27" t="inlineStr">
        <is>
          <t>deepgram-token</t>
        </is>
      </c>
      <c r="T17" s="27" t="inlineStr">
        <is>
          <t>/app/live</t>
        </is>
      </c>
      <c r="U17" s="27">
        <f>IFERROR(Environments!$B$3&amp;T17,T17)</f>
        <v/>
      </c>
      <c r="V17" s="27" t="inlineStr">
        <is>
          <t>Open /app/live. Exercise 'Deepgram streaming STT' (nova-2-meeting stream). Confirm happy path for intended role; note plan gates and credit toasts.</t>
        </is>
      </c>
      <c r="W17" s="27" t="inlineStr">
        <is>
          <t>Free+</t>
        </is>
      </c>
      <c r="X17" s="27" t="inlineStr">
        <is>
          <t>0 / N/A</t>
        </is>
      </c>
      <c r="Y17" s="27" t="inlineStr"/>
    </row>
    <row r="18">
      <c r="A18" s="29" t="inlineStr">
        <is>
          <t>FEAT-016</t>
        </is>
      </c>
      <c r="B18" s="29" t="inlineStr">
        <is>
          <t>Live Practice Coach</t>
        </is>
      </c>
      <c r="C18" s="29" t="inlineStr">
        <is>
          <t>Speaker diarization</t>
        </is>
      </c>
      <c r="D18" s="29" t="inlineStr">
        <is>
          <t>Interviewer vs candidate</t>
        </is>
      </c>
      <c r="E18" s="29" t="inlineStr">
        <is>
          <t>Yes</t>
        </is>
      </c>
      <c r="F18" s="29" t="inlineStr">
        <is>
          <t>Yes</t>
        </is>
      </c>
      <c r="G18" s="29" t="inlineStr">
        <is>
          <t>Yes</t>
        </is>
      </c>
      <c r="H18" s="29" t="inlineStr">
        <is>
          <t>N/A</t>
        </is>
      </c>
      <c r="I18" s="29" t="inlineStr">
        <is>
          <t>N/A</t>
        </is>
      </c>
      <c r="J18" s="29" t="inlineStr">
        <is>
          <t>Completed</t>
        </is>
      </c>
      <c r="K18" s="29" t="inlineStr">
        <is>
          <t>Fully Implemented</t>
        </is>
      </c>
      <c r="L18" s="29" t="inlineStr">
        <is>
          <t>Passed</t>
        </is>
      </c>
      <c r="M18" s="29" t="inlineStr">
        <is>
          <t>High</t>
        </is>
      </c>
      <c r="N18" s="29" t="inlineStr">
        <is>
          <t>High</t>
        </is>
      </c>
      <c r="O18" s="29" t="inlineStr">
        <is>
          <t>Live Coach</t>
        </is>
      </c>
      <c r="P18" s="29" t="inlineStr">
        <is>
          <t>Shreya Patil</t>
        </is>
      </c>
      <c r="Q18" s="29" t="n">
        <v>3</v>
      </c>
      <c r="R18" s="29" t="n">
        <v>2</v>
      </c>
      <c r="S18" s="29" t="inlineStr"/>
      <c r="T18" s="29" t="inlineStr">
        <is>
          <t>/app/live</t>
        </is>
      </c>
      <c r="U18" s="29">
        <f>IFERROR(Environments!$B$3&amp;T18,T18)</f>
        <v/>
      </c>
      <c r="V18" s="29" t="inlineStr">
        <is>
          <t>Open /app/live. Exercise 'Speaker diarization' (Interviewer vs candidate). Confirm happy path for intended role; note plan gates and credit toasts.</t>
        </is>
      </c>
      <c r="W18" s="29" t="inlineStr">
        <is>
          <t>Free+</t>
        </is>
      </c>
      <c r="X18" s="29" t="inlineStr">
        <is>
          <t>0 / N/A</t>
        </is>
      </c>
      <c r="Y18" s="29" t="inlineStr"/>
    </row>
    <row r="19">
      <c r="A19" s="27" t="inlineStr">
        <is>
          <t>FEAT-017</t>
        </is>
      </c>
      <c r="B19" s="27" t="inlineStr">
        <is>
          <t>Live Practice Coach</t>
        </is>
      </c>
      <c r="C19" s="27" t="inlineStr">
        <is>
          <t>Real-time AI hints</t>
        </is>
      </c>
      <c r="D19" s="27" t="inlineStr">
        <is>
          <t>generate-hint</t>
        </is>
      </c>
      <c r="E19" s="27" t="inlineStr">
        <is>
          <t>Yes</t>
        </is>
      </c>
      <c r="F19" s="27" t="inlineStr">
        <is>
          <t>Yes</t>
        </is>
      </c>
      <c r="G19" s="27" t="inlineStr">
        <is>
          <t>Yes</t>
        </is>
      </c>
      <c r="H19" s="27" t="inlineStr">
        <is>
          <t>Yes</t>
        </is>
      </c>
      <c r="I19" s="27" t="inlineStr">
        <is>
          <t>Yes</t>
        </is>
      </c>
      <c r="J19" s="27" t="inlineStr">
        <is>
          <t>Completed</t>
        </is>
      </c>
      <c r="K19" s="27" t="inlineStr">
        <is>
          <t>Fully Implemented</t>
        </is>
      </c>
      <c r="L19" s="27" t="inlineStr">
        <is>
          <t>In Testing</t>
        </is>
      </c>
      <c r="M19" s="27" t="inlineStr">
        <is>
          <t>Critical</t>
        </is>
      </c>
      <c r="N19" s="27" t="inlineStr">
        <is>
          <t>High</t>
        </is>
      </c>
      <c r="O19" s="27" t="inlineStr">
        <is>
          <t>Live Coach</t>
        </is>
      </c>
      <c r="P19" s="27" t="inlineStr">
        <is>
          <t>Shreya Patil</t>
        </is>
      </c>
      <c r="Q19" s="27" t="n">
        <v>3</v>
      </c>
      <c r="R19" s="27" t="n">
        <v>2</v>
      </c>
      <c r="S19" s="27" t="inlineStr">
        <is>
          <t>Credits</t>
        </is>
      </c>
      <c r="T19" s="27" t="inlineStr">
        <is>
          <t>/app/live</t>
        </is>
      </c>
      <c r="U19" s="27">
        <f>IFERROR(Environments!$B$3&amp;T19,T19)</f>
        <v/>
      </c>
      <c r="V19" s="27" t="inlineStr">
        <is>
          <t>Open /app/live. Exercise 'Real-time AI hints' (generate-hint). Confirm happy path for intended role; note plan gates and credit toasts.</t>
        </is>
      </c>
      <c r="W19" s="27" t="inlineStr">
        <is>
          <t>Free+</t>
        </is>
      </c>
      <c r="X19" s="27" t="inlineStr">
        <is>
          <t>2 (live_hint)</t>
        </is>
      </c>
      <c r="Y19" s="27" t="inlineStr"/>
    </row>
    <row r="20">
      <c r="A20" s="29" t="inlineStr">
        <is>
          <t>FEAT-018</t>
        </is>
      </c>
      <c r="B20" s="29" t="inlineStr">
        <is>
          <t>Live Practice Coach</t>
        </is>
      </c>
      <c r="C20" s="29" t="inlineStr">
        <is>
          <t>Streaming AI answers</t>
        </is>
      </c>
      <c r="D20" s="29" t="inlineStr">
        <is>
          <t>generate-answer SSE</t>
        </is>
      </c>
      <c r="E20" s="29" t="inlineStr">
        <is>
          <t>Yes</t>
        </is>
      </c>
      <c r="F20" s="29" t="inlineStr">
        <is>
          <t>Yes</t>
        </is>
      </c>
      <c r="G20" s="29" t="inlineStr">
        <is>
          <t>Yes</t>
        </is>
      </c>
      <c r="H20" s="29" t="inlineStr">
        <is>
          <t>Yes</t>
        </is>
      </c>
      <c r="I20" s="29" t="inlineStr">
        <is>
          <t>Yes</t>
        </is>
      </c>
      <c r="J20" s="29" t="inlineStr">
        <is>
          <t>Completed</t>
        </is>
      </c>
      <c r="K20" s="29" t="inlineStr">
        <is>
          <t>Fully Implemented</t>
        </is>
      </c>
      <c r="L20" s="29" t="inlineStr">
        <is>
          <t>In Testing</t>
        </is>
      </c>
      <c r="M20" s="29" t="inlineStr">
        <is>
          <t>Critical</t>
        </is>
      </c>
      <c r="N20" s="29" t="inlineStr">
        <is>
          <t>Critical</t>
        </is>
      </c>
      <c r="O20" s="29" t="inlineStr">
        <is>
          <t>Live Coach</t>
        </is>
      </c>
      <c r="P20" s="29" t="inlineStr">
        <is>
          <t>Shreya Patil</t>
        </is>
      </c>
      <c r="Q20" s="29" t="n">
        <v>5</v>
      </c>
      <c r="R20" s="29" t="n">
        <v>4</v>
      </c>
      <c r="S20" s="29" t="inlineStr">
        <is>
          <t>Free limited; overlay Pro</t>
        </is>
      </c>
      <c r="T20" s="29" t="inlineStr">
        <is>
          <t>/app/live</t>
        </is>
      </c>
      <c r="U20" s="29">
        <f>IFERROR(Environments!$B$3&amp;T20,T20)</f>
        <v/>
      </c>
      <c r="V20" s="29" t="inlineStr">
        <is>
          <t>Open /app/live. Exercise 'Streaming AI answers' (generate-answer SSE). Confirm happy path for intended role; note plan gates and credit toasts.</t>
        </is>
      </c>
      <c r="W20" s="29" t="inlineStr">
        <is>
          <t>Free+</t>
        </is>
      </c>
      <c r="X20" s="29" t="inlineStr">
        <is>
          <t>8 (live_answer)</t>
        </is>
      </c>
      <c r="Y20" s="29" t="inlineStr"/>
    </row>
    <row r="21">
      <c r="A21" s="27" t="inlineStr">
        <is>
          <t>FEAT-019</t>
        </is>
      </c>
      <c r="B21" s="27" t="inlineStr">
        <is>
          <t>Live Practice Coach</t>
        </is>
      </c>
      <c r="C21" s="27" t="inlineStr">
        <is>
          <t>Screenshot/vision capture</t>
        </is>
      </c>
      <c r="D21" s="27" t="inlineStr">
        <is>
          <t>Coding problem OCR/vision</t>
        </is>
      </c>
      <c r="E21" s="27" t="inlineStr">
        <is>
          <t>Yes</t>
        </is>
      </c>
      <c r="F21" s="27" t="inlineStr">
        <is>
          <t>Yes</t>
        </is>
      </c>
      <c r="G21" s="27" t="inlineStr">
        <is>
          <t>N/A</t>
        </is>
      </c>
      <c r="H21" s="27" t="inlineStr">
        <is>
          <t>Yes</t>
        </is>
      </c>
      <c r="I21" s="27" t="inlineStr">
        <is>
          <t>Yes</t>
        </is>
      </c>
      <c r="J21" s="27" t="inlineStr">
        <is>
          <t>Completed</t>
        </is>
      </c>
      <c r="K21" s="27" t="inlineStr">
        <is>
          <t>Fully Implemented</t>
        </is>
      </c>
      <c r="L21" s="27" t="inlineStr">
        <is>
          <t>In Testing</t>
        </is>
      </c>
      <c r="M21" s="27" t="inlineStr">
        <is>
          <t>High</t>
        </is>
      </c>
      <c r="N21" s="27" t="inlineStr">
        <is>
          <t>High</t>
        </is>
      </c>
      <c r="O21" s="27" t="inlineStr">
        <is>
          <t>Live Coach</t>
        </is>
      </c>
      <c r="P21" s="27" t="inlineStr">
        <is>
          <t>Shreya Patil</t>
        </is>
      </c>
      <c r="Q21" s="27" t="n">
        <v>4</v>
      </c>
      <c r="R21" s="27" t="n">
        <v>2</v>
      </c>
      <c r="S21" s="27" t="inlineStr">
        <is>
          <t>Pro gated</t>
        </is>
      </c>
      <c r="T21" s="27" t="inlineStr">
        <is>
          <t>/app/live</t>
        </is>
      </c>
      <c r="U21" s="27">
        <f>IFERROR(Environments!$B$3&amp;T21,T21)</f>
        <v/>
      </c>
      <c r="V21" s="27" t="inlineStr">
        <is>
          <t>Open /app/live. Exercise 'Screenshot/vision capture' (Coding problem OCR/vision). Confirm happy path for intended role; note plan gates and credit toasts.</t>
        </is>
      </c>
      <c r="W21" s="27" t="inlineStr">
        <is>
          <t>Pro+</t>
        </is>
      </c>
      <c r="X21" s="27" t="inlineStr">
        <is>
          <t>10 (screenshot_answer)</t>
        </is>
      </c>
      <c r="Y21" s="27" t="inlineStr"/>
    </row>
    <row r="22">
      <c r="A22" s="29" t="inlineStr">
        <is>
          <t>FEAT-020</t>
        </is>
      </c>
      <c r="B22" s="29" t="inlineStr">
        <is>
          <t>Live Practice Coach</t>
        </is>
      </c>
      <c r="C22" s="29" t="inlineStr">
        <is>
          <t>Stealth mode</t>
        </is>
      </c>
      <c r="D22" s="29" t="inlineStr">
        <is>
          <t>UI labels only</t>
        </is>
      </c>
      <c r="E22" s="29" t="inlineStr">
        <is>
          <t>Yes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In Progress</t>
        </is>
      </c>
      <c r="K22" s="29" t="inlineStr">
        <is>
          <t>Partial</t>
        </is>
      </c>
      <c r="L22" s="29" t="inlineStr">
        <is>
          <t>Failed</t>
        </is>
      </c>
      <c r="M22" s="29" t="inlineStr">
        <is>
          <t>Medium</t>
        </is>
      </c>
      <c r="N22" s="29" t="inlineStr">
        <is>
          <t>Medium</t>
        </is>
      </c>
      <c r="O22" s="29" t="inlineStr">
        <is>
          <t>Desktop</t>
        </is>
      </c>
      <c r="P22" s="29" t="inlineStr">
        <is>
          <t>Shreya Patil</t>
        </is>
      </c>
      <c r="Q22" s="29" t="n">
        <v>2</v>
      </c>
      <c r="R22" s="29" t="n">
        <v>0.5</v>
      </c>
      <c r="S22" s="29" t="inlineStr">
        <is>
          <t>No capture evasion</t>
        </is>
      </c>
      <c r="T22" s="29" t="inlineStr">
        <is>
          <t>/app/live</t>
        </is>
      </c>
      <c r="U22" s="29">
        <f>IFERROR(Environments!$B$3&amp;T22,T22)</f>
        <v/>
      </c>
      <c r="V22" s="29" t="inlineStr">
        <is>
          <t>Open /app/live. Exercise 'Stealth mode' (UI labels only). Confirm happy path for intended role; note plan gates and credit toasts.</t>
        </is>
      </c>
      <c r="W22" s="29" t="inlineStr">
        <is>
          <t>Free+</t>
        </is>
      </c>
      <c r="X22" s="29" t="inlineStr">
        <is>
          <t>0 / N/A</t>
        </is>
      </c>
      <c r="Y22" s="29" t="inlineStr"/>
    </row>
    <row r="23">
      <c r="A23" s="27" t="inlineStr">
        <is>
          <t>FEAT-021</t>
        </is>
      </c>
      <c r="B23" s="27" t="inlineStr">
        <is>
          <t>Live Practice Coach</t>
        </is>
      </c>
      <c r="C23" s="27" t="inlineStr">
        <is>
          <t>Panic mode</t>
        </is>
      </c>
      <c r="D23" s="27" t="inlineStr">
        <is>
          <t>Static coaching steps</t>
        </is>
      </c>
      <c r="E23" s="27" t="inlineStr">
        <is>
          <t>Yes</t>
        </is>
      </c>
      <c r="F23" s="27" t="inlineStr">
        <is>
          <t>N/A</t>
        </is>
      </c>
      <c r="G23" s="27" t="inlineStr">
        <is>
          <t>N/A</t>
        </is>
      </c>
      <c r="H23" s="27" t="inlineStr">
        <is>
          <t>N/A</t>
        </is>
      </c>
      <c r="I23" s="27" t="inlineStr">
        <is>
          <t>N/A</t>
        </is>
      </c>
      <c r="J23" s="27" t="inlineStr">
        <is>
          <t>Completed</t>
        </is>
      </c>
      <c r="K23" s="27" t="inlineStr">
        <is>
          <t>Fully Implemented</t>
        </is>
      </c>
      <c r="L23" s="27" t="inlineStr">
        <is>
          <t>Passed</t>
        </is>
      </c>
      <c r="M23" s="27" t="inlineStr">
        <is>
          <t>Medium</t>
        </is>
      </c>
      <c r="N23" s="27" t="inlineStr">
        <is>
          <t>Low</t>
        </is>
      </c>
      <c r="O23" s="27" t="inlineStr">
        <is>
          <t>Live Coach</t>
        </is>
      </c>
      <c r="P23" s="27" t="inlineStr">
        <is>
          <t>Shreya Patil</t>
        </is>
      </c>
      <c r="Q23" s="27" t="n">
        <v>1</v>
      </c>
      <c r="R23" s="27" t="n">
        <v>0.5</v>
      </c>
      <c r="S23" s="27" t="inlineStr"/>
      <c r="T23" s="27" t="inlineStr">
        <is>
          <t>/app/live</t>
        </is>
      </c>
      <c r="U23" s="27">
        <f>IFERROR(Environments!$B$3&amp;T23,T23)</f>
        <v/>
      </c>
      <c r="V23" s="27" t="inlineStr">
        <is>
          <t>Open /app/live. Exercise 'Panic mode' (Static coaching steps). Confirm happy path for intended role; note plan gates and credit toasts.</t>
        </is>
      </c>
      <c r="W23" s="27" t="inlineStr">
        <is>
          <t>Free+</t>
        </is>
      </c>
      <c r="X23" s="27" t="inlineStr">
        <is>
          <t>0 / N/A</t>
        </is>
      </c>
      <c r="Y23" s="27" t="inlineStr"/>
    </row>
    <row r="24">
      <c r="A24" s="29" t="inlineStr">
        <is>
          <t>FEAT-022</t>
        </is>
      </c>
      <c r="B24" s="29" t="inlineStr">
        <is>
          <t>Mock Interview</t>
        </is>
      </c>
      <c r="C24" s="29" t="inlineStr">
        <is>
          <t>Mock interview session</t>
        </is>
      </c>
      <c r="D24" s="29" t="inlineStr">
        <is>
          <t>Timed AI mock</t>
        </is>
      </c>
      <c r="E24" s="29" t="inlineStr">
        <is>
          <t>Yes</t>
        </is>
      </c>
      <c r="F24" s="29" t="inlineStr">
        <is>
          <t>Yes</t>
        </is>
      </c>
      <c r="G24" s="29" t="inlineStr">
        <is>
          <t>Yes</t>
        </is>
      </c>
      <c r="H24" s="29" t="inlineStr">
        <is>
          <t>Yes</t>
        </is>
      </c>
      <c r="I24" s="29" t="inlineStr">
        <is>
          <t>Yes</t>
        </is>
      </c>
      <c r="J24" s="29" t="inlineStr">
        <is>
          <t>In Progress</t>
        </is>
      </c>
      <c r="K24" s="29" t="inlineStr">
        <is>
          <t>Partial</t>
        </is>
      </c>
      <c r="L24" s="29" t="inlineStr">
        <is>
          <t>In Testing</t>
        </is>
      </c>
      <c r="M24" s="29" t="inlineStr">
        <is>
          <t>High</t>
        </is>
      </c>
      <c r="N24" s="29" t="inlineStr">
        <is>
          <t>High</t>
        </is>
      </c>
      <c r="O24" s="29" t="inlineStr">
        <is>
          <t>Live Coach</t>
        </is>
      </c>
      <c r="P24" s="29" t="inlineStr">
        <is>
          <t>Shreya Patil</t>
        </is>
      </c>
      <c r="Q24" s="29" t="n">
        <v>6</v>
      </c>
      <c r="R24" s="29" t="n">
        <v>3</v>
      </c>
      <c r="S24" s="29" t="inlineStr">
        <is>
          <t>No TTS</t>
        </is>
      </c>
      <c r="T24" s="29" t="inlineStr">
        <is>
          <t>/app/mock</t>
        </is>
      </c>
      <c r="U24" s="29">
        <f>IFERROR(Environments!$B$3&amp;T24,T24)</f>
        <v/>
      </c>
      <c r="V24" s="29" t="inlineStr">
        <is>
          <t>Open /app/mock. Exercise 'Mock interview session' (Timed AI mock). Confirm happy path for intended role; note plan gates and credit toasts.</t>
        </is>
      </c>
      <c r="W24" s="29" t="inlineStr">
        <is>
          <t>Free+</t>
        </is>
      </c>
      <c r="X24" s="29" t="inlineStr">
        <is>
          <t>0 / N/A</t>
        </is>
      </c>
      <c r="Y24" s="29" t="inlineStr"/>
    </row>
    <row r="25">
      <c r="A25" s="27" t="inlineStr">
        <is>
          <t>FEAT-023</t>
        </is>
      </c>
      <c r="B25" s="27" t="inlineStr">
        <is>
          <t>Mock Interview</t>
        </is>
      </c>
      <c r="C25" s="27" t="inlineStr">
        <is>
          <t>Mock warm-up</t>
        </is>
      </c>
      <c r="D25" s="27" t="inlineStr">
        <is>
          <t>Warm-up questions</t>
        </is>
      </c>
      <c r="E25" s="27" t="inlineStr">
        <is>
          <t>Yes</t>
        </is>
      </c>
      <c r="F25" s="27" t="inlineStr">
        <is>
          <t>N/A</t>
        </is>
      </c>
      <c r="G25" s="27" t="inlineStr">
        <is>
          <t>N/A</t>
        </is>
      </c>
      <c r="H25" s="27" t="inlineStr">
        <is>
          <t>N/A</t>
        </is>
      </c>
      <c r="I25" s="27" t="inlineStr">
        <is>
          <t>N/A</t>
        </is>
      </c>
      <c r="J25" s="27" t="inlineStr">
        <is>
          <t>Completed</t>
        </is>
      </c>
      <c r="K25" s="27" t="inlineStr">
        <is>
          <t>Partial</t>
        </is>
      </c>
      <c r="L25" s="27" t="inlineStr">
        <is>
          <t>Passed</t>
        </is>
      </c>
      <c r="M25" s="27" t="inlineStr">
        <is>
          <t>Medium</t>
        </is>
      </c>
      <c r="N25" s="27" t="inlineStr">
        <is>
          <t>Low</t>
        </is>
      </c>
      <c r="O25" s="27" t="inlineStr">
        <is>
          <t>Live Coach</t>
        </is>
      </c>
      <c r="P25" s="27" t="inlineStr">
        <is>
          <t>Shreya Patil</t>
        </is>
      </c>
      <c r="Q25" s="27" t="n">
        <v>1.5</v>
      </c>
      <c r="R25" s="27" t="n">
        <v>1</v>
      </c>
      <c r="S25" s="27" t="inlineStr">
        <is>
          <t>WARMUP_MAX copy fixed</t>
        </is>
      </c>
      <c r="T25" s="27" t="inlineStr">
        <is>
          <t>/app/mock</t>
        </is>
      </c>
      <c r="U25" s="27">
        <f>IFERROR(Environments!$B$3&amp;T25,T25)</f>
        <v/>
      </c>
      <c r="V25" s="27" t="inlineStr">
        <is>
          <t>Open /app/mock. Exercise 'Mock warm-up' (Warm-up questions). Confirm happy path for intended role; note plan gates and credit toasts.</t>
        </is>
      </c>
      <c r="W25" s="27" t="inlineStr">
        <is>
          <t>Free+</t>
        </is>
      </c>
      <c r="X25" s="27" t="inlineStr">
        <is>
          <t>0 / N/A</t>
        </is>
      </c>
      <c r="Y25" s="27" t="inlineStr"/>
    </row>
    <row r="26">
      <c r="A26" s="29" t="inlineStr">
        <is>
          <t>FEAT-024</t>
        </is>
      </c>
      <c r="B26" s="29" t="inlineStr">
        <is>
          <t>Mock Interview</t>
        </is>
      </c>
      <c r="C26" s="29" t="inlineStr">
        <is>
          <t>Mock TTS playback</t>
        </is>
      </c>
      <c r="D26" s="29" t="inlineStr">
        <is>
          <t>Spoken questions</t>
        </is>
      </c>
      <c r="E26" s="29" t="inlineStr">
        <is>
          <t>No</t>
        </is>
      </c>
      <c r="F26" s="29" t="inlineStr">
        <is>
          <t>No</t>
        </is>
      </c>
      <c r="G26" s="29" t="inlineStr">
        <is>
          <t>N/A</t>
        </is>
      </c>
      <c r="H26" s="29" t="inlineStr">
        <is>
          <t>No</t>
        </is>
      </c>
      <c r="I26" s="29" t="inlineStr">
        <is>
          <t>No</t>
        </is>
      </c>
      <c r="J26" s="29" t="inlineStr">
        <is>
          <t>Not Started</t>
        </is>
      </c>
      <c r="K26" s="29" t="inlineStr">
        <is>
          <t>Not Built</t>
        </is>
      </c>
      <c r="L26" s="29" t="inlineStr">
        <is>
          <t>Not Tested</t>
        </is>
      </c>
      <c r="M26" s="29" t="inlineStr">
        <is>
          <t>High</t>
        </is>
      </c>
      <c r="N26" s="29" t="inlineStr">
        <is>
          <t>Medium</t>
        </is>
      </c>
      <c r="O26" s="29" t="inlineStr">
        <is>
          <t>Live Coach</t>
        </is>
      </c>
      <c r="P26" s="29" t="inlineStr">
        <is>
          <t>Shreya Patil</t>
        </is>
      </c>
      <c r="Q26" s="29" t="n">
        <v>8</v>
      </c>
      <c r="R26" s="29" t="n">
        <v>0</v>
      </c>
      <c r="S26" s="29" t="inlineStr">
        <is>
          <t>Roadmap</t>
        </is>
      </c>
      <c r="T26" s="29" t="inlineStr">
        <is>
          <t>/app/mock</t>
        </is>
      </c>
      <c r="U26" s="29">
        <f>IFERROR(Environments!$B$3&amp;T26,T26)</f>
        <v/>
      </c>
      <c r="V26" s="29" t="inlineStr">
        <is>
          <t>Open /app/mock. Exercise 'Mock TTS playback' (Spoken questions). Confirm happy path for intended role; note plan gates and credit toasts.</t>
        </is>
      </c>
      <c r="W26" s="29" t="inlineStr">
        <is>
          <t>Free+</t>
        </is>
      </c>
      <c r="X26" s="29" t="inlineStr">
        <is>
          <t>0 / N/A</t>
        </is>
      </c>
      <c r="Y26" s="29" t="inlineStr">
        <is>
          <t>BUG-OPEN-04</t>
        </is>
      </c>
    </row>
    <row r="27">
      <c r="A27" s="27" t="inlineStr">
        <is>
          <t>FEAT-025</t>
        </is>
      </c>
      <c r="B27" s="27" t="inlineStr">
        <is>
          <t>Sessions &amp; Debriefs</t>
        </is>
      </c>
      <c r="C27" s="27" t="inlineStr">
        <is>
          <t>Session history list</t>
        </is>
      </c>
      <c r="D27" s="27" t="inlineStr">
        <is>
          <t>Past sessions</t>
        </is>
      </c>
      <c r="E27" s="27" t="inlineStr">
        <is>
          <t>Yes</t>
        </is>
      </c>
      <c r="F27" s="27" t="inlineStr">
        <is>
          <t>Yes</t>
        </is>
      </c>
      <c r="G27" s="27" t="inlineStr">
        <is>
          <t>Yes</t>
        </is>
      </c>
      <c r="H27" s="27" t="inlineStr">
        <is>
          <t>Yes</t>
        </is>
      </c>
      <c r="I27" s="27" t="inlineStr">
        <is>
          <t>N/A</t>
        </is>
      </c>
      <c r="J27" s="27" t="inlineStr">
        <is>
          <t>Completed</t>
        </is>
      </c>
      <c r="K27" s="27" t="inlineStr">
        <is>
          <t>Fully Implemented</t>
        </is>
      </c>
      <c r="L27" s="27" t="inlineStr">
        <is>
          <t>Passed</t>
        </is>
      </c>
      <c r="M27" s="27" t="inlineStr">
        <is>
          <t>High</t>
        </is>
      </c>
      <c r="N27" s="27" t="inlineStr">
        <is>
          <t>Low</t>
        </is>
      </c>
      <c r="O27" s="27" t="inlineStr">
        <is>
          <t>Sessions</t>
        </is>
      </c>
      <c r="P27" s="27" t="inlineStr">
        <is>
          <t>Shreya Patil</t>
        </is>
      </c>
      <c r="Q27" s="27" t="n">
        <v>2</v>
      </c>
      <c r="R27" s="27" t="n">
        <v>1.5</v>
      </c>
      <c r="S27" s="27" t="inlineStr"/>
      <c r="T27" s="27" t="inlineStr">
        <is>
          <t>/app/sessions</t>
        </is>
      </c>
      <c r="U27" s="27">
        <f>IFERROR(Environments!$B$3&amp;T27,T27)</f>
        <v/>
      </c>
      <c r="V27" s="27" t="inlineStr">
        <is>
          <t>Open /app/sessions. Exercise 'Session history list' (Past sessions). Confirm happy path for intended role; note plan gates and credit toasts.</t>
        </is>
      </c>
      <c r="W27" s="27" t="inlineStr">
        <is>
          <t>Free+</t>
        </is>
      </c>
      <c r="X27" s="27" t="inlineStr">
        <is>
          <t>0 / N/A</t>
        </is>
      </c>
      <c r="Y27" s="27" t="inlineStr"/>
    </row>
    <row r="28">
      <c r="A28" s="29" t="inlineStr">
        <is>
          <t>FEAT-026</t>
        </is>
      </c>
      <c r="B28" s="29" t="inlineStr">
        <is>
          <t>Sessions &amp; Debriefs</t>
        </is>
      </c>
      <c r="C28" s="29" t="inlineStr">
        <is>
          <t>Session detail scores</t>
        </is>
      </c>
      <c r="D28" s="29" t="inlineStr">
        <is>
          <t>Dimension breakdown</t>
        </is>
      </c>
      <c r="E28" s="29" t="inlineStr">
        <is>
          <t>Yes</t>
        </is>
      </c>
      <c r="F28" s="29" t="inlineStr">
        <is>
          <t>Yes</t>
        </is>
      </c>
      <c r="G28" s="29" t="inlineStr">
        <is>
          <t>Yes</t>
        </is>
      </c>
      <c r="H28" s="29" t="inlineStr">
        <is>
          <t>N/A</t>
        </is>
      </c>
      <c r="I28" s="29" t="inlineStr">
        <is>
          <t>N/A</t>
        </is>
      </c>
      <c r="J28" s="29" t="inlineStr">
        <is>
          <t>Completed</t>
        </is>
      </c>
      <c r="K28" s="29" t="inlineStr">
        <is>
          <t>Fully Implemented</t>
        </is>
      </c>
      <c r="L28" s="29" t="inlineStr">
        <is>
          <t>Passed</t>
        </is>
      </c>
      <c r="M28" s="29" t="inlineStr">
        <is>
          <t>High</t>
        </is>
      </c>
      <c r="N28" s="29" t="inlineStr">
        <is>
          <t>Medium</t>
        </is>
      </c>
      <c r="O28" s="29" t="inlineStr">
        <is>
          <t>Sessions</t>
        </is>
      </c>
      <c r="P28" s="29" t="inlineStr">
        <is>
          <t>Shreya Patil</t>
        </is>
      </c>
      <c r="Q28" s="29" t="n">
        <v>2</v>
      </c>
      <c r="R28" s="29" t="n">
        <v>1.5</v>
      </c>
      <c r="S28" s="29" t="inlineStr">
        <is>
          <t>Null=Not scored P1-7</t>
        </is>
      </c>
      <c r="T28" s="29" t="inlineStr">
        <is>
          <t>/app/sessions</t>
        </is>
      </c>
      <c r="U28" s="29">
        <f>IFERROR(Environments!$B$3&amp;T28,T28)</f>
        <v/>
      </c>
      <c r="V28" s="29" t="inlineStr">
        <is>
          <t>Open /app/sessions. Exercise 'Session detail scores' (Dimension breakdown). Confirm happy path for intended role; note plan gates and credit toasts.</t>
        </is>
      </c>
      <c r="W28" s="29" t="inlineStr">
        <is>
          <t>Free+</t>
        </is>
      </c>
      <c r="X28" s="29" t="inlineStr">
        <is>
          <t>0 / N/A</t>
        </is>
      </c>
      <c r="Y28" s="29" t="inlineStr"/>
    </row>
    <row r="29">
      <c r="A29" s="27" t="inlineStr">
        <is>
          <t>FEAT-027</t>
        </is>
      </c>
      <c r="B29" s="27" t="inlineStr">
        <is>
          <t>Sessions &amp; Debriefs</t>
        </is>
      </c>
      <c r="C29" s="27" t="inlineStr">
        <is>
          <t>AI Debrief</t>
        </is>
      </c>
      <c r="D29" s="27" t="inlineStr">
        <is>
          <t>generate-debrief</t>
        </is>
      </c>
      <c r="E29" s="27" t="inlineStr">
        <is>
          <t>Yes</t>
        </is>
      </c>
      <c r="F29" s="27" t="inlineStr">
        <is>
          <t>Yes</t>
        </is>
      </c>
      <c r="G29" s="27" t="inlineStr">
        <is>
          <t>Yes</t>
        </is>
      </c>
      <c r="H29" s="27" t="inlineStr">
        <is>
          <t>Yes</t>
        </is>
      </c>
      <c r="I29" s="27" t="inlineStr">
        <is>
          <t>Yes</t>
        </is>
      </c>
      <c r="J29" s="27" t="inlineStr">
        <is>
          <t>Completed</t>
        </is>
      </c>
      <c r="K29" s="27" t="inlineStr">
        <is>
          <t>Fully Implemented</t>
        </is>
      </c>
      <c r="L29" s="27" t="inlineStr">
        <is>
          <t>Passed</t>
        </is>
      </c>
      <c r="M29" s="27" t="inlineStr">
        <is>
          <t>High</t>
        </is>
      </c>
      <c r="N29" s="27" t="inlineStr">
        <is>
          <t>Medium</t>
        </is>
      </c>
      <c r="O29" s="27" t="inlineStr">
        <is>
          <t>Sessions</t>
        </is>
      </c>
      <c r="P29" s="27" t="inlineStr">
        <is>
          <t>Shreya Patil</t>
        </is>
      </c>
      <c r="Q29" s="27" t="n">
        <v>3</v>
      </c>
      <c r="R29" s="27" t="n">
        <v>2</v>
      </c>
      <c r="S29" s="27" t="inlineStr"/>
      <c r="T29" s="27" t="inlineStr">
        <is>
          <t>/app/sessions</t>
        </is>
      </c>
      <c r="U29" s="27">
        <f>IFERROR(Environments!$B$3&amp;T29,T29)</f>
        <v/>
      </c>
      <c r="V29" s="27" t="inlineStr">
        <is>
          <t>Open /app/sessions. Exercise 'AI Debrief' (generate-debrief). Confirm happy path for intended role; note plan gates and credit toasts.</t>
        </is>
      </c>
      <c r="W29" s="27" t="inlineStr">
        <is>
          <t>Free+</t>
        </is>
      </c>
      <c r="X29" s="27" t="inlineStr">
        <is>
          <t>15 (session_debrief)</t>
        </is>
      </c>
      <c r="Y29" s="27" t="inlineStr"/>
    </row>
    <row r="30">
      <c r="A30" s="29" t="inlineStr">
        <is>
          <t>FEAT-028</t>
        </is>
      </c>
      <c r="B30" s="29" t="inlineStr">
        <is>
          <t>Sessions &amp; Debriefs</t>
        </is>
      </c>
      <c r="C30" s="29" t="inlineStr">
        <is>
          <t>Debrief public share</t>
        </is>
      </c>
      <c r="D30" s="29" t="inlineStr">
        <is>
          <t>Share token link</t>
        </is>
      </c>
      <c r="E30" s="29" t="inlineStr">
        <is>
          <t>Yes</t>
        </is>
      </c>
      <c r="F30" s="29" t="inlineStr">
        <is>
          <t>Yes</t>
        </is>
      </c>
      <c r="G30" s="29" t="inlineStr">
        <is>
          <t>Yes</t>
        </is>
      </c>
      <c r="H30" s="29" t="inlineStr">
        <is>
          <t>Yes</t>
        </is>
      </c>
      <c r="I30" s="29" t="inlineStr">
        <is>
          <t>N/A</t>
        </is>
      </c>
      <c r="J30" s="29" t="inlineStr">
        <is>
          <t>Completed</t>
        </is>
      </c>
      <c r="K30" s="29" t="inlineStr">
        <is>
          <t>Fully Implemented</t>
        </is>
      </c>
      <c r="L30" s="29" t="inlineStr">
        <is>
          <t>In Testing</t>
        </is>
      </c>
      <c r="M30" s="29" t="inlineStr">
        <is>
          <t>Medium</t>
        </is>
      </c>
      <c r="N30" s="29" t="inlineStr">
        <is>
          <t>Low</t>
        </is>
      </c>
      <c r="O30" s="29" t="inlineStr">
        <is>
          <t>Sessions</t>
        </is>
      </c>
      <c r="P30" s="29" t="inlineStr">
        <is>
          <t>Shreya Patil</t>
        </is>
      </c>
      <c r="Q30" s="29" t="n">
        <v>2</v>
      </c>
      <c r="R30" s="29" t="n">
        <v>1</v>
      </c>
      <c r="S30" s="29" t="inlineStr"/>
      <c r="T30" s="29" t="inlineStr">
        <is>
          <t>/app/sessions</t>
        </is>
      </c>
      <c r="U30" s="29">
        <f>IFERROR(Environments!$B$3&amp;T30,T30)</f>
        <v/>
      </c>
      <c r="V30" s="29" t="inlineStr">
        <is>
          <t>Open /app/sessions. Exercise 'Debrief public share' (Share token link). Confirm happy path for intended role; note plan gates and credit toasts.</t>
        </is>
      </c>
      <c r="W30" s="29" t="inlineStr">
        <is>
          <t>Free+</t>
        </is>
      </c>
      <c r="X30" s="29" t="inlineStr">
        <is>
          <t>0 / N/A</t>
        </is>
      </c>
      <c r="Y30" s="29" t="inlineStr"/>
    </row>
    <row r="31">
      <c r="A31" s="27" t="inlineStr">
        <is>
          <t>FEAT-029</t>
        </is>
      </c>
      <c r="B31" s="27" t="inlineStr">
        <is>
          <t>Sessions &amp; Debriefs</t>
        </is>
      </c>
      <c r="C31" s="27" t="inlineStr">
        <is>
          <t>Scorecard</t>
        </is>
      </c>
      <c r="D31" s="27" t="inlineStr">
        <is>
          <t>Client Gemini scoring</t>
        </is>
      </c>
      <c r="E31" s="27" t="inlineStr">
        <is>
          <t>Yes</t>
        </is>
      </c>
      <c r="F31" s="27" t="inlineStr">
        <is>
          <t>Yes</t>
        </is>
      </c>
      <c r="G31" s="27" t="inlineStr">
        <is>
          <t>Yes</t>
        </is>
      </c>
      <c r="H31" s="27" t="inlineStr">
        <is>
          <t>Yes</t>
        </is>
      </c>
      <c r="I31" s="27" t="inlineStr">
        <is>
          <t>Partial</t>
        </is>
      </c>
      <c r="J31" s="27" t="inlineStr">
        <is>
          <t>Completed</t>
        </is>
      </c>
      <c r="K31" s="27" t="inlineStr">
        <is>
          <t>Fully Implemented</t>
        </is>
      </c>
      <c r="L31" s="27" t="inlineStr">
        <is>
          <t>In Testing</t>
        </is>
      </c>
      <c r="M31" s="27" t="inlineStr">
        <is>
          <t>High</t>
        </is>
      </c>
      <c r="N31" s="27" t="inlineStr">
        <is>
          <t>Medium</t>
        </is>
      </c>
      <c r="O31" s="27" t="inlineStr">
        <is>
          <t>Sessions</t>
        </is>
      </c>
      <c r="P31" s="27" t="inlineStr">
        <is>
          <t>Shreya Patil</t>
        </is>
      </c>
      <c r="Q31" s="27" t="n">
        <v>3</v>
      </c>
      <c r="R31" s="27" t="n">
        <v>1.5</v>
      </c>
      <c r="S31" s="27" t="inlineStr"/>
      <c r="T31" s="27" t="inlineStr">
        <is>
          <t>/app/sessions</t>
        </is>
      </c>
      <c r="U31" s="27">
        <f>IFERROR(Environments!$B$3&amp;T31,T31)</f>
        <v/>
      </c>
      <c r="V31" s="27" t="inlineStr">
        <is>
          <t>Open /app/sessions. Exercise 'Scorecard' (Client Gemini scoring). Confirm happy path for intended role; note plan gates and credit toasts.</t>
        </is>
      </c>
      <c r="W31" s="27" t="inlineStr">
        <is>
          <t>Free+</t>
        </is>
      </c>
      <c r="X31" s="27" t="inlineStr">
        <is>
          <t>0 / N/A</t>
        </is>
      </c>
      <c r="Y31" s="27" t="inlineStr"/>
    </row>
    <row r="32">
      <c r="A32" s="29" t="inlineStr">
        <is>
          <t>FEAT-030</t>
        </is>
      </c>
      <c r="B32" s="29" t="inlineStr">
        <is>
          <t>Analytics &amp; Usage</t>
        </is>
      </c>
      <c r="C32" s="29" t="inlineStr">
        <is>
          <t>Analytics dashboard</t>
        </is>
      </c>
      <c r="D32" s="29" t="inlineStr">
        <is>
          <t>Trends WPM fillers</t>
        </is>
      </c>
      <c r="E32" s="29" t="inlineStr">
        <is>
          <t>Yes</t>
        </is>
      </c>
      <c r="F32" s="29" t="inlineStr">
        <is>
          <t>Yes</t>
        </is>
      </c>
      <c r="G32" s="29" t="inlineStr">
        <is>
          <t>Yes</t>
        </is>
      </c>
      <c r="H32" s="29" t="inlineStr">
        <is>
          <t>Yes</t>
        </is>
      </c>
      <c r="I32" s="29" t="inlineStr">
        <is>
          <t>Yes</t>
        </is>
      </c>
      <c r="J32" s="29" t="inlineStr">
        <is>
          <t>Completed</t>
        </is>
      </c>
      <c r="K32" s="29" t="inlineStr">
        <is>
          <t>Fully Implemented</t>
        </is>
      </c>
      <c r="L32" s="29" t="inlineStr">
        <is>
          <t>Passed</t>
        </is>
      </c>
      <c r="M32" s="29" t="inlineStr">
        <is>
          <t>Medium</t>
        </is>
      </c>
      <c r="N32" s="29" t="inlineStr">
        <is>
          <t>Low</t>
        </is>
      </c>
      <c r="O32" s="29" t="inlineStr">
        <is>
          <t>Analytics</t>
        </is>
      </c>
      <c r="P32" s="29" t="inlineStr">
        <is>
          <t>Raj Balani</t>
        </is>
      </c>
      <c r="Q32" s="29" t="n">
        <v>3</v>
      </c>
      <c r="R32" s="29" t="n">
        <v>2</v>
      </c>
      <c r="S32" s="29" t="inlineStr">
        <is>
          <t>total_sessions fix P2-8</t>
        </is>
      </c>
      <c r="T32" s="29" t="inlineStr">
        <is>
          <t>/app/analytics</t>
        </is>
      </c>
      <c r="U32" s="29">
        <f>IFERROR(Environments!$B$3&amp;T32,T32)</f>
        <v/>
      </c>
      <c r="V32" s="29" t="inlineStr">
        <is>
          <t>Open /app/analytics. Exercise 'Analytics dashboard' (Trends WPM fillers). Confirm happy path for intended role; note plan gates and credit toasts.</t>
        </is>
      </c>
      <c r="W32" s="29" t="inlineStr">
        <is>
          <t>Free+</t>
        </is>
      </c>
      <c r="X32" s="29" t="inlineStr">
        <is>
          <t>0 / N/A</t>
        </is>
      </c>
      <c r="Y32" s="29" t="inlineStr"/>
    </row>
    <row r="33">
      <c r="A33" s="27" t="inlineStr">
        <is>
          <t>FEAT-031</t>
        </is>
      </c>
      <c r="B33" s="27" t="inlineStr">
        <is>
          <t>Analytics &amp; Usage</t>
        </is>
      </c>
      <c r="C33" s="27" t="inlineStr">
        <is>
          <t>Credits usage dashboard</t>
        </is>
      </c>
      <c r="D33" s="27" t="inlineStr">
        <is>
          <t>Ledger view</t>
        </is>
      </c>
      <c r="E33" s="27" t="inlineStr">
        <is>
          <t>Yes</t>
        </is>
      </c>
      <c r="F33" s="27" t="inlineStr">
        <is>
          <t>Yes</t>
        </is>
      </c>
      <c r="G33" s="27" t="inlineStr">
        <is>
          <t>Yes</t>
        </is>
      </c>
      <c r="H33" s="27" t="inlineStr">
        <is>
          <t>Yes</t>
        </is>
      </c>
      <c r="I33" s="27" t="inlineStr">
        <is>
          <t>N/A</t>
        </is>
      </c>
      <c r="J33" s="27" t="inlineStr">
        <is>
          <t>Completed</t>
        </is>
      </c>
      <c r="K33" s="27" t="inlineStr">
        <is>
          <t>Fully Implemented</t>
        </is>
      </c>
      <c r="L33" s="27" t="inlineStr">
        <is>
          <t>Passed</t>
        </is>
      </c>
      <c r="M33" s="27" t="inlineStr">
        <is>
          <t>High</t>
        </is>
      </c>
      <c r="N33" s="27" t="inlineStr">
        <is>
          <t>Medium</t>
        </is>
      </c>
      <c r="O33" s="27" t="inlineStr">
        <is>
          <t>Billing</t>
        </is>
      </c>
      <c r="P33" s="27" t="inlineStr">
        <is>
          <t>Raj Balani</t>
        </is>
      </c>
      <c r="Q33" s="27" t="n">
        <v>2</v>
      </c>
      <c r="R33" s="27" t="n">
        <v>1.5</v>
      </c>
      <c r="S33" s="27" t="inlineStr"/>
      <c r="T33" s="27" t="inlineStr">
        <is>
          <t>/app/usage</t>
        </is>
      </c>
      <c r="U33" s="27">
        <f>IFERROR(Environments!$B$3&amp;T33,T33)</f>
        <v/>
      </c>
      <c r="V33" s="27" t="inlineStr">
        <is>
          <t>Open /app/usage. Exercise 'Credits usage dashboard' (Ledger view). Confirm happy path for intended role; note plan gates and credit toasts.</t>
        </is>
      </c>
      <c r="W33" s="27" t="inlineStr">
        <is>
          <t>Free+</t>
        </is>
      </c>
      <c r="X33" s="27" t="inlineStr">
        <is>
          <t>0 / N/A</t>
        </is>
      </c>
      <c r="Y33" s="27" t="inlineStr"/>
    </row>
    <row r="34">
      <c r="A34" s="29" t="inlineStr">
        <is>
          <t>FEAT-032</t>
        </is>
      </c>
      <c r="B34" s="29" t="inlineStr">
        <is>
          <t>Prep Lab</t>
        </is>
      </c>
      <c r="C34" s="29" t="inlineStr">
        <is>
          <t>Prep Lab hub</t>
        </is>
      </c>
      <c r="D34" s="29" t="inlineStr">
        <is>
          <t>Tool launcher</t>
        </is>
      </c>
      <c r="E34" s="29" t="inlineStr">
        <is>
          <t>Yes</t>
        </is>
      </c>
      <c r="F34" s="29" t="inlineStr">
        <is>
          <t>Yes</t>
        </is>
      </c>
      <c r="G34" s="29" t="inlineStr">
        <is>
          <t>N/A</t>
        </is>
      </c>
      <c r="H34" s="29" t="inlineStr">
        <is>
          <t>Yes</t>
        </is>
      </c>
      <c r="I34" s="29" t="inlineStr">
        <is>
          <t>Yes</t>
        </is>
      </c>
      <c r="J34" s="29" t="inlineStr">
        <is>
          <t>Completed</t>
        </is>
      </c>
      <c r="K34" s="29" t="inlineStr">
        <is>
          <t>Fully Implemented</t>
        </is>
      </c>
      <c r="L34" s="29" t="inlineStr">
        <is>
          <t>Passed</t>
        </is>
      </c>
      <c r="M34" s="29" t="inlineStr">
        <is>
          <t>High</t>
        </is>
      </c>
      <c r="N34" s="29" t="inlineStr">
        <is>
          <t>Low</t>
        </is>
      </c>
      <c r="O34" s="29" t="inlineStr">
        <is>
          <t>Prep</t>
        </is>
      </c>
      <c r="P34" s="29" t="inlineStr">
        <is>
          <t>Raj Balani</t>
        </is>
      </c>
      <c r="Q34" s="29" t="n">
        <v>1</v>
      </c>
      <c r="R34" s="29" t="n">
        <v>0.5</v>
      </c>
      <c r="S34" s="29" t="inlineStr"/>
      <c r="T34" s="29" t="inlineStr">
        <is>
          <t>/app/prep</t>
        </is>
      </c>
      <c r="U34" s="29">
        <f>IFERROR(Environments!$B$3&amp;T34,T34)</f>
        <v/>
      </c>
      <c r="V34" s="29" t="inlineStr">
        <is>
          <t>Open /app/prep. Exercise 'Prep Lab hub' (Tool launcher). Confirm happy path for intended role; note plan gates and credit toasts.</t>
        </is>
      </c>
      <c r="W34" s="29" t="inlineStr">
        <is>
          <t>Free+</t>
        </is>
      </c>
      <c r="X34" s="29" t="inlineStr">
        <is>
          <t>0 / N/A</t>
        </is>
      </c>
      <c r="Y34" s="29" t="inlineStr"/>
    </row>
    <row r="35">
      <c r="A35" s="27" t="inlineStr">
        <is>
          <t>FEAT-033</t>
        </is>
      </c>
      <c r="B35" s="27" t="inlineStr">
        <is>
          <t>Prep Lab</t>
        </is>
      </c>
      <c r="C35" s="27" t="inlineStr">
        <is>
          <t>STAR Builder</t>
        </is>
      </c>
      <c r="D35" s="27" t="inlineStr">
        <is>
          <t>STAR answer builder</t>
        </is>
      </c>
      <c r="E35" s="27" t="inlineStr">
        <is>
          <t>Yes</t>
        </is>
      </c>
      <c r="F35" s="27" t="inlineStr">
        <is>
          <t>Yes</t>
        </is>
      </c>
      <c r="G35" s="27" t="inlineStr">
        <is>
          <t>Yes</t>
        </is>
      </c>
      <c r="H35" s="27" t="inlineStr">
        <is>
          <t>Yes</t>
        </is>
      </c>
      <c r="I35" s="27" t="inlineStr">
        <is>
          <t>Yes</t>
        </is>
      </c>
      <c r="J35" s="27" t="inlineStr">
        <is>
          <t>Completed</t>
        </is>
      </c>
      <c r="K35" s="27" t="inlineStr">
        <is>
          <t>Fully Implemented</t>
        </is>
      </c>
      <c r="L35" s="27" t="inlineStr">
        <is>
          <t>Passed</t>
        </is>
      </c>
      <c r="M35" s="27" t="inlineStr">
        <is>
          <t>High</t>
        </is>
      </c>
      <c r="N35" s="27" t="inlineStr">
        <is>
          <t>Medium</t>
        </is>
      </c>
      <c r="O35" s="27" t="inlineStr">
        <is>
          <t>Prep</t>
        </is>
      </c>
      <c r="P35" s="27" t="inlineStr">
        <is>
          <t>Raj Balani</t>
        </is>
      </c>
      <c r="Q35" s="27" t="n">
        <v>3</v>
      </c>
      <c r="R35" s="27" t="n">
        <v>2</v>
      </c>
      <c r="S35" s="27" t="inlineStr">
        <is>
          <t>Cost from economics</t>
        </is>
      </c>
      <c r="T35" s="27" t="inlineStr">
        <is>
          <t>/app/prep</t>
        </is>
      </c>
      <c r="U35" s="27">
        <f>IFERROR(Environments!$B$3&amp;T35,T35)</f>
        <v/>
      </c>
      <c r="V35" s="27" t="inlineStr">
        <is>
          <t>Open /app/prep. Exercise 'STAR Builder' (STAR answer builder). Confirm happy path for intended role; note plan gates and credit toasts.</t>
        </is>
      </c>
      <c r="W35" s="27" t="inlineStr">
        <is>
          <t>Free+</t>
        </is>
      </c>
      <c r="X35" s="27" t="inlineStr">
        <is>
          <t>10 (star_builder)</t>
        </is>
      </c>
      <c r="Y35" s="27" t="inlineStr"/>
    </row>
    <row r="36">
      <c r="A36" s="29" t="inlineStr">
        <is>
          <t>FEAT-034</t>
        </is>
      </c>
      <c r="B36" s="29" t="inlineStr">
        <is>
          <t>Prep Lab</t>
        </is>
      </c>
      <c r="C36" s="29" t="inlineStr">
        <is>
          <t>Project Builder</t>
        </is>
      </c>
      <c r="D36" s="29" t="inlineStr">
        <is>
          <t>Project drafts</t>
        </is>
      </c>
      <c r="E36" s="29" t="inlineStr">
        <is>
          <t>Yes</t>
        </is>
      </c>
      <c r="F36" s="29" t="inlineStr">
        <is>
          <t>Partial</t>
        </is>
      </c>
      <c r="G36" s="29" t="inlineStr">
        <is>
          <t>N/A</t>
        </is>
      </c>
      <c r="H36" s="29" t="inlineStr">
        <is>
          <t>Yes</t>
        </is>
      </c>
      <c r="I36" s="29" t="inlineStr">
        <is>
          <t>Yes</t>
        </is>
      </c>
      <c r="J36" s="29" t="inlineStr">
        <is>
          <t>Completed</t>
        </is>
      </c>
      <c r="K36" s="29" t="inlineStr">
        <is>
          <t>Fully Implemented</t>
        </is>
      </c>
      <c r="L36" s="29" t="inlineStr">
        <is>
          <t>In Testing</t>
        </is>
      </c>
      <c r="M36" s="29" t="inlineStr">
        <is>
          <t>Medium</t>
        </is>
      </c>
      <c r="N36" s="29" t="inlineStr">
        <is>
          <t>Low</t>
        </is>
      </c>
      <c r="O36" s="29" t="inlineStr">
        <is>
          <t>Prep</t>
        </is>
      </c>
      <c r="P36" s="29" t="inlineStr">
        <is>
          <t>Raj Balani</t>
        </is>
      </c>
      <c r="Q36" s="29" t="n">
        <v>2</v>
      </c>
      <c r="R36" s="29" t="n">
        <v>1</v>
      </c>
      <c r="S36" s="29" t="inlineStr">
        <is>
          <t>localStorage drafts</t>
        </is>
      </c>
      <c r="T36" s="29" t="inlineStr">
        <is>
          <t>/app/prep</t>
        </is>
      </c>
      <c r="U36" s="29">
        <f>IFERROR(Environments!$B$3&amp;T36,T36)</f>
        <v/>
      </c>
      <c r="V36" s="29" t="inlineStr">
        <is>
          <t>Open /app/prep. Exercise 'Project Builder' (Project drafts). Confirm happy path for intended role; note plan gates and credit toasts.</t>
        </is>
      </c>
      <c r="W36" s="29" t="inlineStr">
        <is>
          <t>Free+</t>
        </is>
      </c>
      <c r="X36" s="29" t="inlineStr">
        <is>
          <t>0 / N/A</t>
        </is>
      </c>
      <c r="Y36" s="29" t="inlineStr"/>
    </row>
    <row r="37">
      <c r="A37" s="27" t="inlineStr">
        <is>
          <t>FEAT-035</t>
        </is>
      </c>
      <c r="B37" s="27" t="inlineStr">
        <is>
          <t>Prep Lab</t>
        </is>
      </c>
      <c r="C37" s="27" t="inlineStr">
        <is>
          <t>Rephraser</t>
        </is>
      </c>
      <c r="D37" s="27" t="inlineStr">
        <is>
          <t>Rewrite answers</t>
        </is>
      </c>
      <c r="E37" s="27" t="inlineStr">
        <is>
          <t>Yes</t>
        </is>
      </c>
      <c r="F37" s="27" t="inlineStr">
        <is>
          <t>Yes</t>
        </is>
      </c>
      <c r="G37" s="27" t="inlineStr">
        <is>
          <t>N/A</t>
        </is>
      </c>
      <c r="H37" s="27" t="inlineStr">
        <is>
          <t>Yes</t>
        </is>
      </c>
      <c r="I37" s="27" t="inlineStr">
        <is>
          <t>Yes</t>
        </is>
      </c>
      <c r="J37" s="27" t="inlineStr">
        <is>
          <t>Completed</t>
        </is>
      </c>
      <c r="K37" s="27" t="inlineStr">
        <is>
          <t>Fully Implemented</t>
        </is>
      </c>
      <c r="L37" s="27" t="inlineStr">
        <is>
          <t>Passed</t>
        </is>
      </c>
      <c r="M37" s="27" t="inlineStr">
        <is>
          <t>Medium</t>
        </is>
      </c>
      <c r="N37" s="27" t="inlineStr">
        <is>
          <t>Low</t>
        </is>
      </c>
      <c r="O37" s="27" t="inlineStr">
        <is>
          <t>Prep</t>
        </is>
      </c>
      <c r="P37" s="27" t="inlineStr">
        <is>
          <t>Raj Balani</t>
        </is>
      </c>
      <c r="Q37" s="27" t="n">
        <v>2</v>
      </c>
      <c r="R37" s="27" t="n">
        <v>1.5</v>
      </c>
      <c r="S37" s="27" t="inlineStr">
        <is>
          <t>Error state wired</t>
        </is>
      </c>
      <c r="T37" s="27" t="inlineStr">
        <is>
          <t>/app/prep</t>
        </is>
      </c>
      <c r="U37" s="27">
        <f>IFERROR(Environments!$B$3&amp;T37,T37)</f>
        <v/>
      </c>
      <c r="V37" s="27" t="inlineStr">
        <is>
          <t>Open /app/prep. Exercise 'Rephraser' (Rewrite answers). Confirm happy path for intended role; note plan gates and credit toasts.</t>
        </is>
      </c>
      <c r="W37" s="27" t="inlineStr">
        <is>
          <t>Free+</t>
        </is>
      </c>
      <c r="X37" s="27" t="inlineStr">
        <is>
          <t>3 (rephraser)</t>
        </is>
      </c>
      <c r="Y37" s="27" t="inlineStr"/>
    </row>
    <row r="38">
      <c r="A38" s="29" t="inlineStr">
        <is>
          <t>FEAT-036</t>
        </is>
      </c>
      <c r="B38" s="29" t="inlineStr">
        <is>
          <t>Prep Lab</t>
        </is>
      </c>
      <c r="C38" s="29" t="inlineStr">
        <is>
          <t>Coding Hints catalog</t>
        </is>
      </c>
      <c r="D38" s="29" t="inlineStr">
        <is>
          <t>DB coding hints</t>
        </is>
      </c>
      <c r="E38" s="29" t="inlineStr">
        <is>
          <t>Yes</t>
        </is>
      </c>
      <c r="F38" s="29" t="inlineStr">
        <is>
          <t>Yes</t>
        </is>
      </c>
      <c r="G38" s="29" t="inlineStr">
        <is>
          <t>Yes</t>
        </is>
      </c>
      <c r="H38" s="29" t="inlineStr">
        <is>
          <t>Yes</t>
        </is>
      </c>
      <c r="I38" s="29" t="inlineStr">
        <is>
          <t>N/A</t>
        </is>
      </c>
      <c r="J38" s="29" t="inlineStr">
        <is>
          <t>Completed</t>
        </is>
      </c>
      <c r="K38" s="29" t="inlineStr">
        <is>
          <t>Fully Implemented</t>
        </is>
      </c>
      <c r="L38" s="29" t="inlineStr">
        <is>
          <t>In Testing</t>
        </is>
      </c>
      <c r="M38" s="29" t="inlineStr">
        <is>
          <t>Medium</t>
        </is>
      </c>
      <c r="N38" s="29" t="inlineStr">
        <is>
          <t>Low</t>
        </is>
      </c>
      <c r="O38" s="29" t="inlineStr">
        <is>
          <t>Prep</t>
        </is>
      </c>
      <c r="P38" s="29" t="inlineStr">
        <is>
          <t>Raj Balani</t>
        </is>
      </c>
      <c r="Q38" s="29" t="n">
        <v>2</v>
      </c>
      <c r="R38" s="29" t="n">
        <v>1</v>
      </c>
      <c r="S38" s="29" t="inlineStr"/>
      <c r="T38" s="29" t="inlineStr">
        <is>
          <t>/app/prep</t>
        </is>
      </c>
      <c r="U38" s="29">
        <f>IFERROR(Environments!$B$3&amp;T38,T38)</f>
        <v/>
      </c>
      <c r="V38" s="29" t="inlineStr">
        <is>
          <t>Open /app/prep. Exercise 'Coding Hints catalog' (DB coding hints). Confirm happy path for intended role; note plan gates and credit toasts.</t>
        </is>
      </c>
      <c r="W38" s="29" t="inlineStr">
        <is>
          <t>Free+</t>
        </is>
      </c>
      <c r="X38" s="29" t="inlineStr">
        <is>
          <t>0 / N/A</t>
        </is>
      </c>
      <c r="Y38" s="29" t="inlineStr"/>
    </row>
    <row r="39">
      <c r="A39" s="27" t="inlineStr">
        <is>
          <t>FEAT-037</t>
        </is>
      </c>
      <c r="B39" s="27" t="inlineStr">
        <is>
          <t>Prep Lab</t>
        </is>
      </c>
      <c r="C39" s="27" t="inlineStr">
        <is>
          <t>System Design topics</t>
        </is>
      </c>
      <c r="D39" s="27" t="inlineStr">
        <is>
          <t>DB topics</t>
        </is>
      </c>
      <c r="E39" s="27" t="inlineStr">
        <is>
          <t>Yes</t>
        </is>
      </c>
      <c r="F39" s="27" t="inlineStr">
        <is>
          <t>Yes</t>
        </is>
      </c>
      <c r="G39" s="27" t="inlineStr">
        <is>
          <t>Yes</t>
        </is>
      </c>
      <c r="H39" s="27" t="inlineStr">
        <is>
          <t>Yes</t>
        </is>
      </c>
      <c r="I39" s="27" t="inlineStr">
        <is>
          <t>N/A</t>
        </is>
      </c>
      <c r="J39" s="27" t="inlineStr">
        <is>
          <t>Completed</t>
        </is>
      </c>
      <c r="K39" s="27" t="inlineStr">
        <is>
          <t>Fully Implemented</t>
        </is>
      </c>
      <c r="L39" s="27" t="inlineStr">
        <is>
          <t>In Testing</t>
        </is>
      </c>
      <c r="M39" s="27" t="inlineStr">
        <is>
          <t>Medium</t>
        </is>
      </c>
      <c r="N39" s="27" t="inlineStr">
        <is>
          <t>Low</t>
        </is>
      </c>
      <c r="O39" s="27" t="inlineStr">
        <is>
          <t>Prep</t>
        </is>
      </c>
      <c r="P39" s="27" t="inlineStr">
        <is>
          <t>Raj Balani</t>
        </is>
      </c>
      <c r="Q39" s="27" t="n">
        <v>2</v>
      </c>
      <c r="R39" s="27" t="n">
        <v>1</v>
      </c>
      <c r="S39" s="27" t="inlineStr"/>
      <c r="T39" s="27" t="inlineStr">
        <is>
          <t>/app/prep</t>
        </is>
      </c>
      <c r="U39" s="27">
        <f>IFERROR(Environments!$B$3&amp;T39,T39)</f>
        <v/>
      </c>
      <c r="V39" s="27" t="inlineStr">
        <is>
          <t>Open /app/prep. Exercise 'System Design topics' (DB topics). Confirm happy path for intended role; note plan gates and credit toasts.</t>
        </is>
      </c>
      <c r="W39" s="27" t="inlineStr">
        <is>
          <t>Free+</t>
        </is>
      </c>
      <c r="X39" s="27" t="inlineStr">
        <is>
          <t>0 / N/A</t>
        </is>
      </c>
      <c r="Y39" s="27" t="inlineStr"/>
    </row>
    <row r="40">
      <c r="A40" s="29" t="inlineStr">
        <is>
          <t>FEAT-038</t>
        </is>
      </c>
      <c r="B40" s="29" t="inlineStr">
        <is>
          <t>Prep Lab</t>
        </is>
      </c>
      <c r="C40" s="29" t="inlineStr">
        <is>
          <t>prep-tool AI suite</t>
        </is>
      </c>
      <c r="D40" s="29" t="inlineStr">
        <is>
          <t>12 AI prep tools</t>
        </is>
      </c>
      <c r="E40" s="29" t="inlineStr">
        <is>
          <t>Yes</t>
        </is>
      </c>
      <c r="F40" s="29" t="inlineStr">
        <is>
          <t>Yes</t>
        </is>
      </c>
      <c r="G40" s="29" t="inlineStr">
        <is>
          <t>Yes</t>
        </is>
      </c>
      <c r="H40" s="29" t="inlineStr">
        <is>
          <t>Yes</t>
        </is>
      </c>
      <c r="I40" s="29" t="inlineStr">
        <is>
          <t>Yes</t>
        </is>
      </c>
      <c r="J40" s="29" t="inlineStr">
        <is>
          <t>Completed</t>
        </is>
      </c>
      <c r="K40" s="29" t="inlineStr">
        <is>
          <t>Fully Implemented</t>
        </is>
      </c>
      <c r="L40" s="29" t="inlineStr">
        <is>
          <t>In Testing</t>
        </is>
      </c>
      <c r="M40" s="29" t="inlineStr">
        <is>
          <t>High</t>
        </is>
      </c>
      <c r="N40" s="29" t="inlineStr">
        <is>
          <t>Medium</t>
        </is>
      </c>
      <c r="O40" s="29" t="inlineStr">
        <is>
          <t>Prep</t>
        </is>
      </c>
      <c r="P40" s="29" t="inlineStr">
        <is>
          <t>Raj Balani</t>
        </is>
      </c>
      <c r="Q40" s="29" t="n">
        <v>4</v>
      </c>
      <c r="R40" s="29" t="n">
        <v>2</v>
      </c>
      <c r="S40" s="29" t="inlineStr"/>
      <c r="T40" s="29" t="inlineStr">
        <is>
          <t>/app/prep</t>
        </is>
      </c>
      <c r="U40" s="29">
        <f>IFERROR(Environments!$B$3&amp;T40,T40)</f>
        <v/>
      </c>
      <c r="V40" s="29" t="inlineStr">
        <is>
          <t>Open /app/prep. Exercise 'prep-tool AI suite' (12 AI prep tools). Confirm happy path for intended role; note plan gates and credit toasts.</t>
        </is>
      </c>
      <c r="W40" s="29" t="inlineStr">
        <is>
          <t>Free+</t>
        </is>
      </c>
      <c r="X40" s="29" t="inlineStr">
        <is>
          <t>0 / N/A</t>
        </is>
      </c>
      <c r="Y40" s="29" t="inlineStr"/>
    </row>
    <row r="41">
      <c r="A41" s="27" t="inlineStr">
        <is>
          <t>FEAT-039</t>
        </is>
      </c>
      <c r="B41" s="27" t="inlineStr">
        <is>
          <t>Documents &amp; Resumes</t>
        </is>
      </c>
      <c r="C41" s="27" t="inlineStr">
        <is>
          <t>Resume upload + AI parse</t>
        </is>
      </c>
      <c r="D41" s="27" t="inlineStr">
        <is>
          <t>parse-resume + OCR</t>
        </is>
      </c>
      <c r="E41" s="27" t="inlineStr">
        <is>
          <t>Yes</t>
        </is>
      </c>
      <c r="F41" s="27" t="inlineStr">
        <is>
          <t>Yes</t>
        </is>
      </c>
      <c r="G41" s="27" t="inlineStr">
        <is>
          <t>Yes</t>
        </is>
      </c>
      <c r="H41" s="27" t="inlineStr">
        <is>
          <t>Yes</t>
        </is>
      </c>
      <c r="I41" s="27" t="inlineStr">
        <is>
          <t>Yes</t>
        </is>
      </c>
      <c r="J41" s="27" t="inlineStr">
        <is>
          <t>Completed</t>
        </is>
      </c>
      <c r="K41" s="27" t="inlineStr">
        <is>
          <t>Fully Implemented</t>
        </is>
      </c>
      <c r="L41" s="27" t="inlineStr">
        <is>
          <t>Passed</t>
        </is>
      </c>
      <c r="M41" s="27" t="inlineStr">
        <is>
          <t>Critical</t>
        </is>
      </c>
      <c r="N41" s="27" t="inlineStr">
        <is>
          <t>High</t>
        </is>
      </c>
      <c r="O41" s="27" t="inlineStr">
        <is>
          <t>Docs</t>
        </is>
      </c>
      <c r="P41" s="27" t="inlineStr">
        <is>
          <t>Shreya Patil</t>
        </is>
      </c>
      <c r="Q41" s="27" t="n">
        <v>5</v>
      </c>
      <c r="R41" s="27" t="n">
        <v>4</v>
      </c>
      <c r="S41" s="27" t="inlineStr">
        <is>
          <t>Credits + free onboarding</t>
        </is>
      </c>
      <c r="T41" s="27" t="inlineStr">
        <is>
          <t>/app/documents</t>
        </is>
      </c>
      <c r="U41" s="27">
        <f>IFERROR(Environments!$B$3&amp;T41,T41)</f>
        <v/>
      </c>
      <c r="V41" s="27" t="inlineStr">
        <is>
          <t>Open /app/documents. Exercise 'Resume upload + AI parse' (parse-resume + OCR). Confirm happy path for intended role; note plan gates and credit toasts.</t>
        </is>
      </c>
      <c r="W41" s="27" t="inlineStr">
        <is>
          <t>Free+</t>
        </is>
      </c>
      <c r="X41" s="27" t="inlineStr">
        <is>
          <t>12 (resume_analysis; first onboarding free)</t>
        </is>
      </c>
      <c r="Y41" s="27" t="inlineStr"/>
    </row>
    <row r="42">
      <c r="A42" s="29" t="inlineStr">
        <is>
          <t>FEAT-040</t>
        </is>
      </c>
      <c r="B42" s="29" t="inlineStr">
        <is>
          <t>Documents &amp; Resumes</t>
        </is>
      </c>
      <c r="C42" s="29" t="inlineStr">
        <is>
          <t>Job description parse</t>
        </is>
      </c>
      <c r="D42" s="29" t="inlineStr">
        <is>
          <t>Client Gemini JD</t>
        </is>
      </c>
      <c r="E42" s="29" t="inlineStr">
        <is>
          <t>Yes</t>
        </is>
      </c>
      <c r="F42" s="29" t="inlineStr">
        <is>
          <t>Partial</t>
        </is>
      </c>
      <c r="G42" s="29" t="inlineStr">
        <is>
          <t>Yes</t>
        </is>
      </c>
      <c r="H42" s="29" t="inlineStr">
        <is>
          <t>Partial</t>
        </is>
      </c>
      <c r="I42" s="29" t="inlineStr">
        <is>
          <t>N/A</t>
        </is>
      </c>
      <c r="J42" s="29" t="inlineStr">
        <is>
          <t>Completed</t>
        </is>
      </c>
      <c r="K42" s="29" t="inlineStr">
        <is>
          <t>Fully Implemented</t>
        </is>
      </c>
      <c r="L42" s="29" t="inlineStr">
        <is>
          <t>In Testing</t>
        </is>
      </c>
      <c r="M42" s="29" t="inlineStr">
        <is>
          <t>High</t>
        </is>
      </c>
      <c r="N42" s="29" t="inlineStr">
        <is>
          <t>Medium</t>
        </is>
      </c>
      <c r="O42" s="29" t="inlineStr">
        <is>
          <t>Docs</t>
        </is>
      </c>
      <c r="P42" s="29" t="inlineStr">
        <is>
          <t>Shreya Patil</t>
        </is>
      </c>
      <c r="Q42" s="29" t="n">
        <v>2</v>
      </c>
      <c r="R42" s="29" t="n">
        <v>1</v>
      </c>
      <c r="S42" s="29" t="inlineStr"/>
      <c r="T42" s="29" t="inlineStr">
        <is>
          <t>/app/documents</t>
        </is>
      </c>
      <c r="U42" s="29">
        <f>IFERROR(Environments!$B$3&amp;T42,T42)</f>
        <v/>
      </c>
      <c r="V42" s="29" t="inlineStr">
        <is>
          <t>Open /app/documents. Exercise 'Job description parse' (Client Gemini JD). Confirm happy path for intended role; note plan gates and credit toasts.</t>
        </is>
      </c>
      <c r="W42" s="29" t="inlineStr">
        <is>
          <t>Free+</t>
        </is>
      </c>
      <c r="X42" s="29" t="inlineStr">
        <is>
          <t>0 / N/A</t>
        </is>
      </c>
      <c r="Y42" s="29" t="inlineStr"/>
    </row>
    <row r="43">
      <c r="A43" s="27" t="inlineStr">
        <is>
          <t>FEAT-041</t>
        </is>
      </c>
      <c r="B43" s="27" t="inlineStr">
        <is>
          <t>Documents &amp; Resumes</t>
        </is>
      </c>
      <c r="C43" s="27" t="inlineStr">
        <is>
          <t>Resume vs JD gap analysis</t>
        </is>
      </c>
      <c r="D43" s="27" t="inlineStr">
        <is>
          <t>gap-analysis edge</t>
        </is>
      </c>
      <c r="E43" s="27" t="inlineStr">
        <is>
          <t>Yes</t>
        </is>
      </c>
      <c r="F43" s="27" t="inlineStr">
        <is>
          <t>Yes</t>
        </is>
      </c>
      <c r="G43" s="27" t="inlineStr">
        <is>
          <t>Yes</t>
        </is>
      </c>
      <c r="H43" s="27" t="inlineStr">
        <is>
          <t>Yes</t>
        </is>
      </c>
      <c r="I43" s="27" t="inlineStr">
        <is>
          <t>Yes</t>
        </is>
      </c>
      <c r="J43" s="27" t="inlineStr">
        <is>
          <t>Completed</t>
        </is>
      </c>
      <c r="K43" s="27" t="inlineStr">
        <is>
          <t>Fully Implemented</t>
        </is>
      </c>
      <c r="L43" s="27" t="inlineStr">
        <is>
          <t>Ready</t>
        </is>
      </c>
      <c r="M43" s="27" t="inlineStr">
        <is>
          <t>High</t>
        </is>
      </c>
      <c r="N43" s="27" t="inlineStr">
        <is>
          <t>Medium</t>
        </is>
      </c>
      <c r="O43" s="27" t="inlineStr">
        <is>
          <t>Docs</t>
        </is>
      </c>
      <c r="P43" s="27" t="inlineStr">
        <is>
          <t>Shreya Patil</t>
        </is>
      </c>
      <c r="Q43" s="27" t="n">
        <v>4</v>
      </c>
      <c r="R43" s="27" t="n">
        <v>3</v>
      </c>
      <c r="S43" s="27" t="inlineStr">
        <is>
          <t>JDDetail run + 402 handling</t>
        </is>
      </c>
      <c r="T43" s="27" t="inlineStr">
        <is>
          <t>/app/documents/jd/:id</t>
        </is>
      </c>
      <c r="U43" s="27">
        <f>IFERROR(Environments!$B$3&amp;T43,T43)</f>
        <v/>
      </c>
      <c r="V43" s="27" t="inlineStr">
        <is>
          <t>Open a JD → select resume → Run gap analysis. Expect match score + skills; 402 if credits low.</t>
        </is>
      </c>
      <c r="W43" s="27" t="inlineStr">
        <is>
          <t>Free+</t>
        </is>
      </c>
      <c r="X43" s="27" t="inlineStr">
        <is>
          <t>10 (gap_analysis)</t>
        </is>
      </c>
      <c r="Y43" s="27" t="inlineStr"/>
    </row>
    <row r="44">
      <c r="A44" s="29" t="inlineStr">
        <is>
          <t>FEAT-042</t>
        </is>
      </c>
      <c r="B44" s="29" t="inlineStr">
        <is>
          <t>Documents &amp; Resumes</t>
        </is>
      </c>
      <c r="C44" s="29" t="inlineStr">
        <is>
          <t>Resume version history UI</t>
        </is>
      </c>
      <c r="D44" s="29" t="inlineStr">
        <is>
          <t>Version list UI</t>
        </is>
      </c>
      <c r="E44" s="29" t="inlineStr">
        <is>
          <t>Yes</t>
        </is>
      </c>
      <c r="F44" s="29" t="inlineStr">
        <is>
          <t>Yes</t>
        </is>
      </c>
      <c r="G44" s="29" t="inlineStr">
        <is>
          <t>Yes</t>
        </is>
      </c>
      <c r="H44" s="29" t="inlineStr">
        <is>
          <t>N/A</t>
        </is>
      </c>
      <c r="I44" s="29" t="inlineStr">
        <is>
          <t>N/A</t>
        </is>
      </c>
      <c r="J44" s="29" t="inlineStr">
        <is>
          <t>Completed</t>
        </is>
      </c>
      <c r="K44" s="29" t="inlineStr">
        <is>
          <t>Fully Implemented</t>
        </is>
      </c>
      <c r="L44" s="29" t="inlineStr">
        <is>
          <t>Ready</t>
        </is>
      </c>
      <c r="M44" s="29" t="inlineStr">
        <is>
          <t>Medium</t>
        </is>
      </c>
      <c r="N44" s="29" t="inlineStr">
        <is>
          <t>Low</t>
        </is>
      </c>
      <c r="O44" s="29" t="inlineStr">
        <is>
          <t>Docs</t>
        </is>
      </c>
      <c r="P44" s="29" t="inlineStr">
        <is>
          <t>Shreya Patil</t>
        </is>
      </c>
      <c r="Q44" s="29" t="n">
        <v>4</v>
      </c>
      <c r="R44" s="29" t="n">
        <v>2</v>
      </c>
      <c r="S44" s="29" t="inlineStr">
        <is>
          <t>Read-only list on ResumeDetail</t>
        </is>
      </c>
      <c r="T44" s="29" t="inlineStr">
        <is>
          <t>/app/documents/resume/:id</t>
        </is>
      </c>
      <c r="U44" s="29">
        <f>IFERROR(Environments!$B$3&amp;T44,T44)</f>
        <v/>
      </c>
      <c r="V44" s="29" t="inlineStr">
        <is>
          <t>Open resume detail → Version history card lists parse snapshots (read-only).</t>
        </is>
      </c>
      <c r="W44" s="29" t="inlineStr">
        <is>
          <t>Free+</t>
        </is>
      </c>
      <c r="X44" s="29" t="inlineStr">
        <is>
          <t>0 / N/A</t>
        </is>
      </c>
      <c r="Y44" s="29" t="inlineStr"/>
    </row>
    <row r="45">
      <c r="A45" s="27" t="inlineStr">
        <is>
          <t>FEAT-043</t>
        </is>
      </c>
      <c r="B45" s="27" t="inlineStr">
        <is>
          <t>Documents &amp; Resumes</t>
        </is>
      </c>
      <c r="C45" s="27" t="inlineStr">
        <is>
          <t>parse-document OCR</t>
        </is>
      </c>
      <c r="D45" s="27" t="inlineStr">
        <is>
          <t>Generic doc parse</t>
        </is>
      </c>
      <c r="E45" s="27" t="inlineStr">
        <is>
          <t>Yes</t>
        </is>
      </c>
      <c r="F45" s="27" t="inlineStr">
        <is>
          <t>Yes</t>
        </is>
      </c>
      <c r="G45" s="27" t="inlineStr">
        <is>
          <t>Yes</t>
        </is>
      </c>
      <c r="H45" s="27" t="inlineStr">
        <is>
          <t>Yes</t>
        </is>
      </c>
      <c r="I45" s="27" t="inlineStr">
        <is>
          <t>Yes</t>
        </is>
      </c>
      <c r="J45" s="27" t="inlineStr">
        <is>
          <t>Completed</t>
        </is>
      </c>
      <c r="K45" s="27" t="inlineStr">
        <is>
          <t>Fully Implemented</t>
        </is>
      </c>
      <c r="L45" s="27" t="inlineStr">
        <is>
          <t>In Testing</t>
        </is>
      </c>
      <c r="M45" s="27" t="inlineStr">
        <is>
          <t>High</t>
        </is>
      </c>
      <c r="N45" s="27" t="inlineStr">
        <is>
          <t>Medium</t>
        </is>
      </c>
      <c r="O45" s="27" t="inlineStr">
        <is>
          <t>Docs</t>
        </is>
      </c>
      <c r="P45" s="27" t="inlineStr">
        <is>
          <t>Shreya Patil</t>
        </is>
      </c>
      <c r="Q45" s="27" t="n">
        <v>3</v>
      </c>
      <c r="R45" s="27" t="n">
        <v>1.5</v>
      </c>
      <c r="S45" s="27" t="inlineStr">
        <is>
          <t>Charged; key in header</t>
        </is>
      </c>
      <c r="T45" s="27" t="inlineStr">
        <is>
          <t>/app/documents</t>
        </is>
      </c>
      <c r="U45" s="27">
        <f>IFERROR(Environments!$B$3&amp;T45,T45)</f>
        <v/>
      </c>
      <c r="V45" s="27" t="inlineStr">
        <is>
          <t>Open /app/documents. Exercise 'parse-document OCR' (Generic doc parse). Confirm happy path for intended role; note plan gates and credit toasts.</t>
        </is>
      </c>
      <c r="W45" s="27" t="inlineStr">
        <is>
          <t>Free+</t>
        </is>
      </c>
      <c r="X45" s="27" t="inlineStr">
        <is>
          <t>8 (parse_document)</t>
        </is>
      </c>
      <c r="Y45" s="27" t="inlineStr"/>
    </row>
    <row r="46">
      <c r="A46" s="29" t="inlineStr">
        <is>
          <t>FEAT-044</t>
        </is>
      </c>
      <c r="B46" s="29" t="inlineStr">
        <is>
          <t>Answer Bank</t>
        </is>
      </c>
      <c r="C46" s="29" t="inlineStr">
        <is>
          <t>Answer Bank CRUD</t>
        </is>
      </c>
      <c r="D46" s="29" t="inlineStr">
        <is>
          <t>Save/edit STAR answers</t>
        </is>
      </c>
      <c r="E46" s="29" t="inlineStr">
        <is>
          <t>Yes</t>
        </is>
      </c>
      <c r="F46" s="29" t="inlineStr">
        <is>
          <t>Yes</t>
        </is>
      </c>
      <c r="G46" s="29" t="inlineStr">
        <is>
          <t>Yes</t>
        </is>
      </c>
      <c r="H46" s="29" t="inlineStr">
        <is>
          <t>Yes</t>
        </is>
      </c>
      <c r="I46" s="29" t="inlineStr">
        <is>
          <t>N/A</t>
        </is>
      </c>
      <c r="J46" s="29" t="inlineStr">
        <is>
          <t>Completed</t>
        </is>
      </c>
      <c r="K46" s="29" t="inlineStr">
        <is>
          <t>Fully Implemented</t>
        </is>
      </c>
      <c r="L46" s="29" t="inlineStr">
        <is>
          <t>Passed</t>
        </is>
      </c>
      <c r="M46" s="29" t="inlineStr">
        <is>
          <t>Medium</t>
        </is>
      </c>
      <c r="N46" s="29" t="inlineStr">
        <is>
          <t>Low</t>
        </is>
      </c>
      <c r="O46" s="29" t="inlineStr">
        <is>
          <t>Prep</t>
        </is>
      </c>
      <c r="P46" s="29" t="inlineStr">
        <is>
          <t>Raj Balani</t>
        </is>
      </c>
      <c r="Q46" s="29" t="n">
        <v>2</v>
      </c>
      <c r="R46" s="29" t="n">
        <v>1.5</v>
      </c>
      <c r="S46" s="29" t="inlineStr"/>
      <c r="T46" s="29" t="inlineStr">
        <is>
          <t>/app/answers</t>
        </is>
      </c>
      <c r="U46" s="29">
        <f>IFERROR(Environments!$B$3&amp;T46,T46)</f>
        <v/>
      </c>
      <c r="V46" s="29" t="inlineStr">
        <is>
          <t>Open /app/answers. Exercise 'Answer Bank CRUD' (Save/edit STAR answers). Confirm happy path for intended role; note plan gates and credit toasts.</t>
        </is>
      </c>
      <c r="W46" s="29" t="inlineStr">
        <is>
          <t>Free+</t>
        </is>
      </c>
      <c r="X46" s="29" t="inlineStr">
        <is>
          <t>0 / N/A</t>
        </is>
      </c>
      <c r="Y46" s="29" t="inlineStr"/>
    </row>
    <row r="47">
      <c r="A47" s="27" t="inlineStr">
        <is>
          <t>FEAT-045</t>
        </is>
      </c>
      <c r="B47" s="27" t="inlineStr">
        <is>
          <t>Answer Bank</t>
        </is>
      </c>
      <c r="C47" s="27" t="inlineStr">
        <is>
          <t>Answer Bank AI generate</t>
        </is>
      </c>
      <c r="D47" s="27" t="inlineStr">
        <is>
          <t>prep-tool star_method</t>
        </is>
      </c>
      <c r="E47" s="27" t="inlineStr">
        <is>
          <t>Yes</t>
        </is>
      </c>
      <c r="F47" s="27" t="inlineStr">
        <is>
          <t>Yes</t>
        </is>
      </c>
      <c r="G47" s="27" t="inlineStr">
        <is>
          <t>Yes</t>
        </is>
      </c>
      <c r="H47" s="27" t="inlineStr">
        <is>
          <t>Yes</t>
        </is>
      </c>
      <c r="I47" s="27" t="inlineStr">
        <is>
          <t>Yes</t>
        </is>
      </c>
      <c r="J47" s="27" t="inlineStr">
        <is>
          <t>Completed</t>
        </is>
      </c>
      <c r="K47" s="27" t="inlineStr">
        <is>
          <t>Fully Implemented</t>
        </is>
      </c>
      <c r="L47" s="27" t="inlineStr">
        <is>
          <t>In Testing</t>
        </is>
      </c>
      <c r="M47" s="27" t="inlineStr">
        <is>
          <t>Medium</t>
        </is>
      </c>
      <c r="N47" s="27" t="inlineStr">
        <is>
          <t>Low</t>
        </is>
      </c>
      <c r="O47" s="27" t="inlineStr">
        <is>
          <t>Prep</t>
        </is>
      </c>
      <c r="P47" s="27" t="inlineStr">
        <is>
          <t>Raj Balani</t>
        </is>
      </c>
      <c r="Q47" s="27" t="n">
        <v>3</v>
      </c>
      <c r="R47" s="27" t="n">
        <v>2</v>
      </c>
      <c r="S47" s="27" t="inlineStr">
        <is>
          <t>Wired P3</t>
        </is>
      </c>
      <c r="T47" s="27" t="inlineStr">
        <is>
          <t>/app/answers</t>
        </is>
      </c>
      <c r="U47" s="27">
        <f>IFERROR(Environments!$B$3&amp;T47,T47)</f>
        <v/>
      </c>
      <c r="V47" s="27" t="inlineStr">
        <is>
          <t>Open /app/answers. Exercise 'Answer Bank AI generate' (prep-tool star_method). Confirm happy path for intended role; note plan gates and credit toasts.</t>
        </is>
      </c>
      <c r="W47" s="27" t="inlineStr">
        <is>
          <t>Free+</t>
        </is>
      </c>
      <c r="X47" s="27" t="inlineStr">
        <is>
          <t>0 / N/A</t>
        </is>
      </c>
      <c r="Y47" s="27" t="inlineStr"/>
    </row>
    <row r="48">
      <c r="A48" s="29" t="inlineStr">
        <is>
          <t>FEAT-046</t>
        </is>
      </c>
      <c r="B48" s="29" t="inlineStr">
        <is>
          <t>Interviews &amp; Calendar</t>
        </is>
      </c>
      <c r="C48" s="29" t="inlineStr">
        <is>
          <t>Manual interview CRUD</t>
        </is>
      </c>
      <c r="D48" s="29" t="inlineStr">
        <is>
          <t>Schedule interviews</t>
        </is>
      </c>
      <c r="E48" s="29" t="inlineStr">
        <is>
          <t>Yes</t>
        </is>
      </c>
      <c r="F48" s="29" t="inlineStr">
        <is>
          <t>Yes</t>
        </is>
      </c>
      <c r="G48" s="29" t="inlineStr">
        <is>
          <t>Yes</t>
        </is>
      </c>
      <c r="H48" s="29" t="inlineStr">
        <is>
          <t>Yes</t>
        </is>
      </c>
      <c r="I48" s="29" t="inlineStr">
        <is>
          <t>N/A</t>
        </is>
      </c>
      <c r="J48" s="29" t="inlineStr">
        <is>
          <t>Completed</t>
        </is>
      </c>
      <c r="K48" s="29" t="inlineStr">
        <is>
          <t>Fully Implemented</t>
        </is>
      </c>
      <c r="L48" s="29" t="inlineStr">
        <is>
          <t>Passed</t>
        </is>
      </c>
      <c r="M48" s="29" t="inlineStr">
        <is>
          <t>High</t>
        </is>
      </c>
      <c r="N48" s="29" t="inlineStr">
        <is>
          <t>Medium</t>
        </is>
      </c>
      <c r="O48" s="29" t="inlineStr">
        <is>
          <t>Scheduling</t>
        </is>
      </c>
      <c r="P48" s="29" t="inlineStr">
        <is>
          <t>Raj Balani</t>
        </is>
      </c>
      <c r="Q48" s="29" t="n">
        <v>3</v>
      </c>
      <c r="R48" s="29" t="n">
        <v>2</v>
      </c>
      <c r="S48" s="29" t="inlineStr">
        <is>
          <t>next_round helpers</t>
        </is>
      </c>
      <c r="T48" s="29" t="inlineStr">
        <is>
          <t>/app/interviews</t>
        </is>
      </c>
      <c r="U48" s="29">
        <f>IFERROR(Environments!$B$3&amp;T48,T48)</f>
        <v/>
      </c>
      <c r="V48" s="29" t="inlineStr">
        <is>
          <t>Open /app/interviews. Exercise 'Manual interview CRUD' (Schedule interviews). Confirm happy path for intended role; note plan gates and credit toasts.</t>
        </is>
      </c>
      <c r="W48" s="29" t="inlineStr">
        <is>
          <t>Free+</t>
        </is>
      </c>
      <c r="X48" s="29" t="inlineStr">
        <is>
          <t>0 / N/A</t>
        </is>
      </c>
      <c r="Y48" s="29" t="inlineStr"/>
    </row>
    <row r="49">
      <c r="A49" s="27" t="inlineStr">
        <is>
          <t>FEAT-047</t>
        </is>
      </c>
      <c r="B49" s="27" t="inlineStr">
        <is>
          <t>Interviews &amp; Calendar</t>
        </is>
      </c>
      <c r="C49" s="27" t="inlineStr">
        <is>
          <t>Interview email reminders</t>
        </is>
      </c>
      <c r="D49" s="27" t="inlineStr">
        <is>
          <t>schedule-interview email</t>
        </is>
      </c>
      <c r="E49" s="27" t="inlineStr">
        <is>
          <t>Yes</t>
        </is>
      </c>
      <c r="F49" s="27" t="inlineStr">
        <is>
          <t>Yes</t>
        </is>
      </c>
      <c r="G49" s="27" t="inlineStr">
        <is>
          <t>Yes</t>
        </is>
      </c>
      <c r="H49" s="27" t="inlineStr">
        <is>
          <t>Yes</t>
        </is>
      </c>
      <c r="I49" s="27" t="inlineStr">
        <is>
          <t>Yes</t>
        </is>
      </c>
      <c r="J49" s="27" t="inlineStr">
        <is>
          <t>Completed</t>
        </is>
      </c>
      <c r="K49" s="27" t="inlineStr">
        <is>
          <t>Fully Implemented</t>
        </is>
      </c>
      <c r="L49" s="27" t="inlineStr">
        <is>
          <t>Blocked</t>
        </is>
      </c>
      <c r="M49" s="27" t="inlineStr">
        <is>
          <t>Medium</t>
        </is>
      </c>
      <c r="N49" s="27" t="inlineStr">
        <is>
          <t>Medium</t>
        </is>
      </c>
      <c r="O49" s="27" t="inlineStr">
        <is>
          <t>Scheduling</t>
        </is>
      </c>
      <c r="P49" s="27" t="inlineStr">
        <is>
          <t>Raj Balani</t>
        </is>
      </c>
      <c r="Q49" s="27" t="n">
        <v>2</v>
      </c>
      <c r="R49" s="27" t="n">
        <v>0.5</v>
      </c>
      <c r="S49" s="27" t="inlineStr">
        <is>
          <t>Needs Resend key</t>
        </is>
      </c>
      <c r="T49" s="27" t="inlineStr">
        <is>
          <t>/app/interviews</t>
        </is>
      </c>
      <c r="U49" s="27">
        <f>IFERROR(Environments!$B$3&amp;T49,T49)</f>
        <v/>
      </c>
      <c r="V49" s="27" t="inlineStr">
        <is>
          <t>Open /app/interviews. Exercise 'Interview email reminders' (schedule-interview email). Confirm happy path for intended role; note plan gates and credit toasts.</t>
        </is>
      </c>
      <c r="W49" s="27" t="inlineStr">
        <is>
          <t>Free+</t>
        </is>
      </c>
      <c r="X49" s="27" t="inlineStr">
        <is>
          <t>0 / N/A</t>
        </is>
      </c>
      <c r="Y49" s="27" t="inlineStr">
        <is>
          <t>BUG-OPEN-26</t>
        </is>
      </c>
    </row>
    <row r="50">
      <c r="A50" s="29" t="inlineStr">
        <is>
          <t>FEAT-048</t>
        </is>
      </c>
      <c r="B50" s="29" t="inlineStr">
        <is>
          <t>Interviews &amp; Calendar</t>
        </is>
      </c>
      <c r="C50" s="29" t="inlineStr">
        <is>
          <t>Google Calendar connect</t>
        </is>
      </c>
      <c r="D50" s="29" t="inlineStr">
        <is>
          <t>OAuth connect</t>
        </is>
      </c>
      <c r="E50" s="29" t="inlineStr">
        <is>
          <t>Yes</t>
        </is>
      </c>
      <c r="F50" s="29" t="inlineStr">
        <is>
          <t>Yes</t>
        </is>
      </c>
      <c r="G50" s="29" t="inlineStr">
        <is>
          <t>Yes</t>
        </is>
      </c>
      <c r="H50" s="29" t="inlineStr">
        <is>
          <t>Yes</t>
        </is>
      </c>
      <c r="I50" s="29" t="inlineStr">
        <is>
          <t>Yes</t>
        </is>
      </c>
      <c r="J50" s="29" t="inlineStr">
        <is>
          <t>Completed</t>
        </is>
      </c>
      <c r="K50" s="29" t="inlineStr">
        <is>
          <t>Fully Implemented</t>
        </is>
      </c>
      <c r="L50" s="29" t="inlineStr">
        <is>
          <t>In Testing</t>
        </is>
      </c>
      <c r="M50" s="29" t="inlineStr">
        <is>
          <t>High</t>
        </is>
      </c>
      <c r="N50" s="29" t="inlineStr">
        <is>
          <t>Medium</t>
        </is>
      </c>
      <c r="O50" s="29" t="inlineStr">
        <is>
          <t>Scheduling</t>
        </is>
      </c>
      <c r="P50" s="29" t="inlineStr">
        <is>
          <t>Raj Balani</t>
        </is>
      </c>
      <c r="Q50" s="29" t="n">
        <v>3</v>
      </c>
      <c r="R50" s="29" t="n">
        <v>1.5</v>
      </c>
      <c r="S50" s="29" t="inlineStr"/>
      <c r="T50" s="29" t="inlineStr">
        <is>
          <t>/app/interviews</t>
        </is>
      </c>
      <c r="U50" s="29">
        <f>IFERROR(Environments!$B$3&amp;T50,T50)</f>
        <v/>
      </c>
      <c r="V50" s="29" t="inlineStr">
        <is>
          <t>Open /app/interviews. Exercise 'Google Calendar connect' (OAuth connect). Confirm happy path for intended role; note plan gates and credit toasts.</t>
        </is>
      </c>
      <c r="W50" s="29" t="inlineStr">
        <is>
          <t>Free+</t>
        </is>
      </c>
      <c r="X50" s="29" t="inlineStr">
        <is>
          <t>0 / N/A</t>
        </is>
      </c>
      <c r="Y50" s="29" t="inlineStr"/>
    </row>
    <row r="51">
      <c r="A51" s="27" t="inlineStr">
        <is>
          <t>FEAT-049</t>
        </is>
      </c>
      <c r="B51" s="27" t="inlineStr">
        <is>
          <t>Interviews &amp; Calendar</t>
        </is>
      </c>
      <c r="C51" s="27" t="inlineStr">
        <is>
          <t>Google Calendar sync</t>
        </is>
      </c>
      <c r="D51" s="27" t="inlineStr">
        <is>
          <t>sync-calendar</t>
        </is>
      </c>
      <c r="E51" s="27" t="inlineStr">
        <is>
          <t>Yes</t>
        </is>
      </c>
      <c r="F51" s="27" t="inlineStr">
        <is>
          <t>Yes</t>
        </is>
      </c>
      <c r="G51" s="27" t="inlineStr">
        <is>
          <t>Yes</t>
        </is>
      </c>
      <c r="H51" s="27" t="inlineStr">
        <is>
          <t>Yes</t>
        </is>
      </c>
      <c r="I51" s="27" t="inlineStr">
        <is>
          <t>Yes</t>
        </is>
      </c>
      <c r="J51" s="27" t="inlineStr">
        <is>
          <t>Blocked</t>
        </is>
      </c>
      <c r="K51" s="27" t="inlineStr">
        <is>
          <t>Partial</t>
        </is>
      </c>
      <c r="L51" s="27" t="inlineStr">
        <is>
          <t>Blocked</t>
        </is>
      </c>
      <c r="M51" s="27" t="inlineStr">
        <is>
          <t>High</t>
        </is>
      </c>
      <c r="N51" s="27" t="inlineStr">
        <is>
          <t>Medium</t>
        </is>
      </c>
      <c r="O51" s="27" t="inlineStr">
        <is>
          <t>Scheduling</t>
        </is>
      </c>
      <c r="P51" s="27" t="inlineStr">
        <is>
          <t>Raj Balani</t>
        </is>
      </c>
      <c r="Q51" s="27" t="n">
        <v>4</v>
      </c>
      <c r="R51" s="27" t="n">
        <v>1</v>
      </c>
      <c r="S51" s="27" t="inlineStr">
        <is>
          <t>501 without secrets</t>
        </is>
      </c>
      <c r="T51" s="27" t="inlineStr">
        <is>
          <t>/app/interviews</t>
        </is>
      </c>
      <c r="U51" s="27">
        <f>IFERROR(Environments!$B$3&amp;T51,T51)</f>
        <v/>
      </c>
      <c r="V51" s="27" t="inlineStr">
        <is>
          <t>Open /app/interviews. Exercise 'Google Calendar sync' (sync-calendar). Confirm happy path for intended role; note plan gates and credit toasts.</t>
        </is>
      </c>
      <c r="W51" s="27" t="inlineStr">
        <is>
          <t>Pro+</t>
        </is>
      </c>
      <c r="X51" s="27" t="inlineStr">
        <is>
          <t>0 / N/A</t>
        </is>
      </c>
      <c r="Y51" s="27" t="inlineStr">
        <is>
          <t>BUG-OPEN-03</t>
        </is>
      </c>
    </row>
    <row r="52">
      <c r="A52" s="29" t="inlineStr">
        <is>
          <t>FEAT-050</t>
        </is>
      </c>
      <c r="B52" s="29" t="inlineStr">
        <is>
          <t>Interviews &amp; Calendar</t>
        </is>
      </c>
      <c r="C52" s="29" t="inlineStr">
        <is>
          <t>Outlook Calendar</t>
        </is>
      </c>
      <c r="D52" s="29" t="inlineStr">
        <is>
          <t>Outlook sync</t>
        </is>
      </c>
      <c r="E52" s="29" t="inlineStr">
        <is>
          <t>No</t>
        </is>
      </c>
      <c r="F52" s="29" t="inlineStr">
        <is>
          <t>No</t>
        </is>
      </c>
      <c r="G52" s="29" t="inlineStr">
        <is>
          <t>N/A</t>
        </is>
      </c>
      <c r="H52" s="29" t="inlineStr">
        <is>
          <t>No</t>
        </is>
      </c>
      <c r="I52" s="29" t="inlineStr">
        <is>
          <t>No</t>
        </is>
      </c>
      <c r="J52" s="29" t="inlineStr">
        <is>
          <t>Not Started</t>
        </is>
      </c>
      <c r="K52" s="29" t="inlineStr">
        <is>
          <t>Not Built</t>
        </is>
      </c>
      <c r="L52" s="29" t="inlineStr">
        <is>
          <t>Not Tested</t>
        </is>
      </c>
      <c r="M52" s="29" t="inlineStr">
        <is>
          <t>Medium</t>
        </is>
      </c>
      <c r="N52" s="29" t="inlineStr">
        <is>
          <t>Low</t>
        </is>
      </c>
      <c r="O52" s="29" t="inlineStr">
        <is>
          <t>Scheduling</t>
        </is>
      </c>
      <c r="P52" s="29" t="inlineStr">
        <is>
          <t>Raj Balani</t>
        </is>
      </c>
      <c r="Q52" s="29" t="n">
        <v>8</v>
      </c>
      <c r="R52" s="29" t="n">
        <v>0</v>
      </c>
      <c r="S52" s="29" t="inlineStr">
        <is>
          <t>Descope</t>
        </is>
      </c>
      <c r="T52" s="29" t="inlineStr">
        <is>
          <t>/app/interviews</t>
        </is>
      </c>
      <c r="U52" s="29">
        <f>IFERROR(Environments!$B$3&amp;T52,T52)</f>
        <v/>
      </c>
      <c r="V52" s="29" t="inlineStr">
        <is>
          <t>Open /app/interviews. Exercise 'Outlook Calendar' (Outlook sync). Confirm happy path for intended role; note plan gates and credit toasts.</t>
        </is>
      </c>
      <c r="W52" s="29" t="inlineStr">
        <is>
          <t>Free+</t>
        </is>
      </c>
      <c r="X52" s="29" t="inlineStr">
        <is>
          <t>0 / N/A</t>
        </is>
      </c>
      <c r="Y52" s="29" t="inlineStr">
        <is>
          <t>BUG-OPEN-07</t>
        </is>
      </c>
    </row>
    <row r="53">
      <c r="A53" s="27" t="inlineStr">
        <is>
          <t>FEAT-051</t>
        </is>
      </c>
      <c r="B53" s="27" t="inlineStr">
        <is>
          <t>Interviews &amp; Calendar</t>
        </is>
      </c>
      <c r="C53" s="27" t="inlineStr">
        <is>
          <t>Interview Day screen</t>
        </is>
      </c>
      <c r="D53" s="27" t="inlineStr">
        <is>
          <t>Day-of interview UI</t>
        </is>
      </c>
      <c r="E53" s="27" t="inlineStr">
        <is>
          <t>Yes</t>
        </is>
      </c>
      <c r="F53" s="27" t="inlineStr">
        <is>
          <t>Yes</t>
        </is>
      </c>
      <c r="G53" s="27" t="inlineStr">
        <is>
          <t>Yes</t>
        </is>
      </c>
      <c r="H53" s="27" t="inlineStr">
        <is>
          <t>N/A</t>
        </is>
      </c>
      <c r="I53" s="27" t="inlineStr">
        <is>
          <t>N/A</t>
        </is>
      </c>
      <c r="J53" s="27" t="inlineStr">
        <is>
          <t>Completed</t>
        </is>
      </c>
      <c r="K53" s="27" t="inlineStr">
        <is>
          <t>Fully Implemented</t>
        </is>
      </c>
      <c r="L53" s="27" t="inlineStr">
        <is>
          <t>Passed</t>
        </is>
      </c>
      <c r="M53" s="27" t="inlineStr">
        <is>
          <t>High</t>
        </is>
      </c>
      <c r="N53" s="27" t="inlineStr">
        <is>
          <t>Medium</t>
        </is>
      </c>
      <c r="O53" s="27" t="inlineStr">
        <is>
          <t>Scheduling</t>
        </is>
      </c>
      <c r="P53" s="27" t="inlineStr">
        <is>
          <t>Raj Balani</t>
        </is>
      </c>
      <c r="Q53" s="27" t="n">
        <v>2</v>
      </c>
      <c r="R53" s="27" t="n">
        <v>1.5</v>
      </c>
      <c r="S53" s="27" t="inlineStr">
        <is>
          <t>Date bug fixed P1-1</t>
        </is>
      </c>
      <c r="T53" s="27" t="inlineStr">
        <is>
          <t>/app/interview-day</t>
        </is>
      </c>
      <c r="U53" s="27">
        <f>IFERROR(Environments!$B$3&amp;T53,T53)</f>
        <v/>
      </c>
      <c r="V53" s="27" t="inlineStr">
        <is>
          <t>Open /app/interview-day. Exercise 'Interview Day screen' (Day-of interview UI). Confirm happy path for intended role; note plan gates and credit toasts.</t>
        </is>
      </c>
      <c r="W53" s="27" t="inlineStr">
        <is>
          <t>Free+</t>
        </is>
      </c>
      <c r="X53" s="27" t="inlineStr">
        <is>
          <t>0 / N/A</t>
        </is>
      </c>
      <c r="Y53" s="27" t="inlineStr"/>
    </row>
    <row r="54">
      <c r="A54" s="29" t="inlineStr">
        <is>
          <t>FEAT-052</t>
        </is>
      </c>
      <c r="B54" s="29" t="inlineStr">
        <is>
          <t>Company Research</t>
        </is>
      </c>
      <c r="C54" s="29" t="inlineStr">
        <is>
          <t>Company Research AI</t>
        </is>
      </c>
      <c r="D54" s="29" t="inlineStr">
        <is>
          <t>AI brief + cache</t>
        </is>
      </c>
      <c r="E54" s="29" t="inlineStr">
        <is>
          <t>Yes</t>
        </is>
      </c>
      <c r="F54" s="29" t="inlineStr">
        <is>
          <t>Yes</t>
        </is>
      </c>
      <c r="G54" s="29" t="inlineStr">
        <is>
          <t>Yes</t>
        </is>
      </c>
      <c r="H54" s="29" t="inlineStr">
        <is>
          <t>Yes</t>
        </is>
      </c>
      <c r="I54" s="29" t="inlineStr">
        <is>
          <t>Yes</t>
        </is>
      </c>
      <c r="J54" s="29" t="inlineStr">
        <is>
          <t>Completed</t>
        </is>
      </c>
      <c r="K54" s="29" t="inlineStr">
        <is>
          <t>Fully Implemented</t>
        </is>
      </c>
      <c r="L54" s="29" t="inlineStr">
        <is>
          <t>Passed</t>
        </is>
      </c>
      <c r="M54" s="29" t="inlineStr">
        <is>
          <t>Medium</t>
        </is>
      </c>
      <c r="N54" s="29" t="inlineStr">
        <is>
          <t>Medium</t>
        </is>
      </c>
      <c r="O54" s="29" t="inlineStr">
        <is>
          <t>Prep</t>
        </is>
      </c>
      <c r="P54" s="29" t="inlineStr">
        <is>
          <t>Raj Balani</t>
        </is>
      </c>
      <c r="Q54" s="29" t="n">
        <v>3</v>
      </c>
      <c r="R54" s="29" t="n">
        <v>2</v>
      </c>
      <c r="S54" s="29" t="inlineStr">
        <is>
          <t>Pro gated</t>
        </is>
      </c>
      <c r="T54" s="29" t="inlineStr">
        <is>
          <t>/app/companies</t>
        </is>
      </c>
      <c r="U54" s="29">
        <f>IFERROR(Environments!$B$3&amp;T54,T54)</f>
        <v/>
      </c>
      <c r="V54" s="29" t="inlineStr">
        <is>
          <t>Open /app/companies. Exercise 'Company Research AI' (AI brief + cache). Confirm happy path for intended role; note plan gates and credit toasts.</t>
        </is>
      </c>
      <c r="W54" s="29" t="inlineStr">
        <is>
          <t>Pro+</t>
        </is>
      </c>
      <c r="X54" s="29" t="inlineStr">
        <is>
          <t>20 (company_research)</t>
        </is>
      </c>
      <c r="Y54" s="29" t="inlineStr"/>
    </row>
    <row r="55">
      <c r="A55" s="27" t="inlineStr">
        <is>
          <t>FEAT-053</t>
        </is>
      </c>
      <c r="B55" s="27" t="inlineStr">
        <is>
          <t>Notifications &amp; Profile</t>
        </is>
      </c>
      <c r="C55" s="27" t="inlineStr">
        <is>
          <t>In-app notifications</t>
        </is>
      </c>
      <c r="D55" s="27" t="inlineStr">
        <is>
          <t>Realtime notifications</t>
        </is>
      </c>
      <c r="E55" s="27" t="inlineStr">
        <is>
          <t>Yes</t>
        </is>
      </c>
      <c r="F55" s="27" t="inlineStr">
        <is>
          <t>Yes</t>
        </is>
      </c>
      <c r="G55" s="27" t="inlineStr">
        <is>
          <t>Yes</t>
        </is>
      </c>
      <c r="H55" s="27" t="inlineStr">
        <is>
          <t>Yes</t>
        </is>
      </c>
      <c r="I55" s="27" t="inlineStr">
        <is>
          <t>N/A</t>
        </is>
      </c>
      <c r="J55" s="27" t="inlineStr">
        <is>
          <t>Completed</t>
        </is>
      </c>
      <c r="K55" s="27" t="inlineStr">
        <is>
          <t>Fully Implemented</t>
        </is>
      </c>
      <c r="L55" s="27" t="inlineStr">
        <is>
          <t>Passed</t>
        </is>
      </c>
      <c r="M55" s="27" t="inlineStr">
        <is>
          <t>Medium</t>
        </is>
      </c>
      <c r="N55" s="27" t="inlineStr">
        <is>
          <t>Low</t>
        </is>
      </c>
      <c r="O55" s="27" t="inlineStr">
        <is>
          <t>Growth</t>
        </is>
      </c>
      <c r="P55" s="27" t="inlineStr">
        <is>
          <t>Raj Balani</t>
        </is>
      </c>
      <c r="Q55" s="27" t="n">
        <v>2</v>
      </c>
      <c r="R55" s="27" t="n">
        <v>1.5</v>
      </c>
      <c r="S55" s="27" t="inlineStr"/>
      <c r="T55" s="27" t="inlineStr">
        <is>
          <t>/app/notifications</t>
        </is>
      </c>
      <c r="U55" s="27">
        <f>IFERROR(Environments!$B$3&amp;T55,T55)</f>
        <v/>
      </c>
      <c r="V55" s="27" t="inlineStr">
        <is>
          <t>Open /app/notifications. Exercise 'In-app notifications' (Realtime notifications). Confirm happy path for intended role; note plan gates and credit toasts.</t>
        </is>
      </c>
      <c r="W55" s="27" t="inlineStr">
        <is>
          <t>Free+</t>
        </is>
      </c>
      <c r="X55" s="27" t="inlineStr">
        <is>
          <t>0 / N/A</t>
        </is>
      </c>
      <c r="Y55" s="27" t="inlineStr"/>
    </row>
    <row r="56">
      <c r="A56" s="29" t="inlineStr">
        <is>
          <t>FEAT-054</t>
        </is>
      </c>
      <c r="B56" s="29" t="inlineStr">
        <is>
          <t>Notifications &amp; Profile</t>
        </is>
      </c>
      <c r="C56" s="29" t="inlineStr">
        <is>
          <t>Email notification prefs</t>
        </is>
      </c>
      <c r="D56" s="29" t="inlineStr">
        <is>
          <t>Prefs UI + send-email gate</t>
        </is>
      </c>
      <c r="E56" s="29" t="inlineStr">
        <is>
          <t>Yes</t>
        </is>
      </c>
      <c r="F56" s="29" t="inlineStr">
        <is>
          <t>Yes</t>
        </is>
      </c>
      <c r="G56" s="29" t="inlineStr">
        <is>
          <t>Yes</t>
        </is>
      </c>
      <c r="H56" s="29" t="inlineStr">
        <is>
          <t>Yes</t>
        </is>
      </c>
      <c r="I56" s="29" t="inlineStr">
        <is>
          <t>Yes</t>
        </is>
      </c>
      <c r="J56" s="29" t="inlineStr">
        <is>
          <t>Completed</t>
        </is>
      </c>
      <c r="K56" s="29" t="inlineStr">
        <is>
          <t>Fully Implemented</t>
        </is>
      </c>
      <c r="L56" s="29" t="inlineStr">
        <is>
          <t>Ready</t>
        </is>
      </c>
      <c r="M56" s="29" t="inlineStr">
        <is>
          <t>Medium</t>
        </is>
      </c>
      <c r="N56" s="29" t="inlineStr">
        <is>
          <t>Medium</t>
        </is>
      </c>
      <c r="O56" s="29" t="inlineStr">
        <is>
          <t>Growth</t>
        </is>
      </c>
      <c r="P56" s="29" t="inlineStr">
        <is>
          <t>Raj Balani</t>
        </is>
      </c>
      <c r="Q56" s="29" t="n">
        <v>2</v>
      </c>
      <c r="R56" s="29" t="n">
        <v>1.5</v>
      </c>
      <c r="S56" s="29" t="inlineStr">
        <is>
          <t>send-email honours prefs</t>
        </is>
      </c>
      <c r="T56" s="29" t="inlineStr">
        <is>
          <t>/app/settings/notifications</t>
        </is>
      </c>
      <c r="U56" s="29">
        <f>IFERROR(Environments!$B$3&amp;T56,T56)</f>
        <v/>
      </c>
      <c r="V56" s="29" t="inlineStr">
        <is>
          <t>Settings → Notifications. Toggle category off, trigger send-email type; expect skipped when pref off.</t>
        </is>
      </c>
      <c r="W56" s="29" t="inlineStr">
        <is>
          <t>Free+</t>
        </is>
      </c>
      <c r="X56" s="29" t="inlineStr">
        <is>
          <t>0 / N/A</t>
        </is>
      </c>
      <c r="Y56" s="29" t="inlineStr"/>
    </row>
    <row r="57">
      <c r="A57" s="27" t="inlineStr">
        <is>
          <t>FEAT-055</t>
        </is>
      </c>
      <c r="B57" s="27" t="inlineStr">
        <is>
          <t>Notifications &amp; Profile</t>
        </is>
      </c>
      <c r="C57" s="27" t="inlineStr">
        <is>
          <t>Push notifications</t>
        </is>
      </c>
      <c r="D57" s="27" t="inlineStr">
        <is>
          <t>Web push</t>
        </is>
      </c>
      <c r="E57" s="27" t="inlineStr">
        <is>
          <t>Partial</t>
        </is>
      </c>
      <c r="F57" s="27" t="inlineStr">
        <is>
          <t>No</t>
        </is>
      </c>
      <c r="G57" s="27" t="inlineStr">
        <is>
          <t>N/A</t>
        </is>
      </c>
      <c r="H57" s="27" t="inlineStr">
        <is>
          <t>No</t>
        </is>
      </c>
      <c r="I57" s="27" t="inlineStr">
        <is>
          <t>No</t>
        </is>
      </c>
      <c r="J57" s="27" t="inlineStr">
        <is>
          <t>Not Started</t>
        </is>
      </c>
      <c r="K57" s="27" t="inlineStr">
        <is>
          <t>Not Built</t>
        </is>
      </c>
      <c r="L57" s="27" t="inlineStr">
        <is>
          <t>Not Tested</t>
        </is>
      </c>
      <c r="M57" s="27" t="inlineStr">
        <is>
          <t>Low</t>
        </is>
      </c>
      <c r="N57" s="27" t="inlineStr">
        <is>
          <t>Low</t>
        </is>
      </c>
      <c r="O57" s="27" t="inlineStr">
        <is>
          <t>Growth</t>
        </is>
      </c>
      <c r="P57" s="27" t="inlineStr">
        <is>
          <t>Raj Balani</t>
        </is>
      </c>
      <c r="Q57" s="27" t="n">
        <v>6</v>
      </c>
      <c r="R57" s="27" t="n">
        <v>0</v>
      </c>
      <c r="S57" s="27" t="inlineStr">
        <is>
          <t>Permission only</t>
        </is>
      </c>
      <c r="T57" s="27" t="inlineStr">
        <is>
          <t>/app/notifications</t>
        </is>
      </c>
      <c r="U57" s="27">
        <f>IFERROR(Environments!$B$3&amp;T57,T57)</f>
        <v/>
      </c>
      <c r="V57" s="27" t="inlineStr">
        <is>
          <t>Open /app/notifications. Exercise 'Push notifications' (Web push). Confirm happy path for intended role; note plan gates and credit toasts.</t>
        </is>
      </c>
      <c r="W57" s="27" t="inlineStr">
        <is>
          <t>Free+</t>
        </is>
      </c>
      <c r="X57" s="27" t="inlineStr">
        <is>
          <t>0 / N/A</t>
        </is>
      </c>
      <c r="Y57" s="27" t="inlineStr">
        <is>
          <t>BUG-OPEN-09</t>
        </is>
      </c>
    </row>
    <row r="58">
      <c r="A58" s="29" t="inlineStr">
        <is>
          <t>FEAT-056</t>
        </is>
      </c>
      <c r="B58" s="29" t="inlineStr">
        <is>
          <t>Notifications &amp; Profile</t>
        </is>
      </c>
      <c r="C58" s="29" t="inlineStr">
        <is>
          <t>Gamification XP/streak</t>
        </is>
      </c>
      <c r="D58" s="29" t="inlineStr">
        <is>
          <t>XP badges streaks</t>
        </is>
      </c>
      <c r="E58" s="29" t="inlineStr">
        <is>
          <t>Yes</t>
        </is>
      </c>
      <c r="F58" s="29" t="inlineStr">
        <is>
          <t>Yes</t>
        </is>
      </c>
      <c r="G58" s="29" t="inlineStr">
        <is>
          <t>Yes</t>
        </is>
      </c>
      <c r="H58" s="29" t="inlineStr">
        <is>
          <t>Yes</t>
        </is>
      </c>
      <c r="I58" s="29" t="inlineStr">
        <is>
          <t>N/A</t>
        </is>
      </c>
      <c r="J58" s="29" t="inlineStr">
        <is>
          <t>Completed</t>
        </is>
      </c>
      <c r="K58" s="29" t="inlineStr">
        <is>
          <t>Fully Implemented</t>
        </is>
      </c>
      <c r="L58" s="29" t="inlineStr">
        <is>
          <t>Passed</t>
        </is>
      </c>
      <c r="M58" s="29" t="inlineStr">
        <is>
          <t>Medium</t>
        </is>
      </c>
      <c r="N58" s="29" t="inlineStr">
        <is>
          <t>Low</t>
        </is>
      </c>
      <c r="O58" s="29" t="inlineStr">
        <is>
          <t>Growth</t>
        </is>
      </c>
      <c r="P58" s="29" t="inlineStr">
        <is>
          <t>Raj Balani</t>
        </is>
      </c>
      <c r="Q58" s="29" t="n">
        <v>3</v>
      </c>
      <c r="R58" s="29" t="n">
        <v>2</v>
      </c>
      <c r="S58" s="29" t="inlineStr"/>
      <c r="T58" s="29" t="inlineStr">
        <is>
          <t>/app/notifications</t>
        </is>
      </c>
      <c r="U58" s="29">
        <f>IFERROR(Environments!$B$3&amp;T58,T58)</f>
        <v/>
      </c>
      <c r="V58" s="29" t="inlineStr">
        <is>
          <t>Open /app/notifications. Exercise 'Gamification XP/streak' (XP badges streaks). Confirm happy path for intended role; note plan gates and credit toasts.</t>
        </is>
      </c>
      <c r="W58" s="29" t="inlineStr">
        <is>
          <t>Free+</t>
        </is>
      </c>
      <c r="X58" s="29" t="inlineStr">
        <is>
          <t>0 / N/A</t>
        </is>
      </c>
      <c r="Y58" s="29" t="inlineStr"/>
    </row>
    <row r="59">
      <c r="A59" s="27" t="inlineStr">
        <is>
          <t>FEAT-057</t>
        </is>
      </c>
      <c r="B59" s="27" t="inlineStr">
        <is>
          <t>Notifications &amp; Profile</t>
        </is>
      </c>
      <c r="C59" s="27" t="inlineStr">
        <is>
          <t>Profile page display</t>
        </is>
      </c>
      <c r="D59" s="27" t="inlineStr">
        <is>
          <t>Streak badges profile</t>
        </is>
      </c>
      <c r="E59" s="27" t="inlineStr">
        <is>
          <t>Yes</t>
        </is>
      </c>
      <c r="F59" s="27" t="inlineStr">
        <is>
          <t>Yes</t>
        </is>
      </c>
      <c r="G59" s="27" t="inlineStr">
        <is>
          <t>Yes</t>
        </is>
      </c>
      <c r="H59" s="27" t="inlineStr">
        <is>
          <t>N/A</t>
        </is>
      </c>
      <c r="I59" s="27" t="inlineStr">
        <is>
          <t>N/A</t>
        </is>
      </c>
      <c r="J59" s="27" t="inlineStr">
        <is>
          <t>Completed</t>
        </is>
      </c>
      <c r="K59" s="27" t="inlineStr">
        <is>
          <t>Fully Implemented</t>
        </is>
      </c>
      <c r="L59" s="27" t="inlineStr">
        <is>
          <t>Passed</t>
        </is>
      </c>
      <c r="M59" s="27" t="inlineStr">
        <is>
          <t>Medium</t>
        </is>
      </c>
      <c r="N59" s="27" t="inlineStr">
        <is>
          <t>Medium</t>
        </is>
      </c>
      <c r="O59" s="27" t="inlineStr">
        <is>
          <t>Growth</t>
        </is>
      </c>
      <c r="P59" s="27" t="inlineStr">
        <is>
          <t>Raj Balani</t>
        </is>
      </c>
      <c r="Q59" s="27" t="n">
        <v>2</v>
      </c>
      <c r="R59" s="27" t="n">
        <v>1.5</v>
      </c>
      <c r="S59" s="27" t="inlineStr">
        <is>
          <t>streak_days + badges fixed</t>
        </is>
      </c>
      <c r="T59" s="27" t="inlineStr">
        <is>
          <t>/app/notifications</t>
        </is>
      </c>
      <c r="U59" s="27">
        <f>IFERROR(Environments!$B$3&amp;T59,T59)</f>
        <v/>
      </c>
      <c r="V59" s="27" t="inlineStr">
        <is>
          <t>Open /app/notifications. Exercise 'Profile page display' (Streak badges profile). Confirm happy path for intended role; note plan gates and credit toasts.</t>
        </is>
      </c>
      <c r="W59" s="27" t="inlineStr">
        <is>
          <t>Free+</t>
        </is>
      </c>
      <c r="X59" s="27" t="inlineStr">
        <is>
          <t>0 / N/A</t>
        </is>
      </c>
      <c r="Y59" s="27" t="inlineStr"/>
    </row>
    <row r="60">
      <c r="A60" s="29" t="inlineStr">
        <is>
          <t>FEAT-058</t>
        </is>
      </c>
      <c r="B60" s="29" t="inlineStr">
        <is>
          <t>Referrals &amp; Guide</t>
        </is>
      </c>
      <c r="C60" s="29" t="inlineStr">
        <is>
          <t>Referral program</t>
        </is>
      </c>
      <c r="D60" s="29" t="inlineStr">
        <is>
          <t>RPC credit grants</t>
        </is>
      </c>
      <c r="E60" s="29" t="inlineStr">
        <is>
          <t>Yes</t>
        </is>
      </c>
      <c r="F60" s="29" t="inlineStr">
        <is>
          <t>Yes</t>
        </is>
      </c>
      <c r="G60" s="29" t="inlineStr">
        <is>
          <t>Yes</t>
        </is>
      </c>
      <c r="H60" s="29" t="inlineStr">
        <is>
          <t>Yes</t>
        </is>
      </c>
      <c r="I60" s="29" t="inlineStr">
        <is>
          <t>Yes</t>
        </is>
      </c>
      <c r="J60" s="29" t="inlineStr">
        <is>
          <t>Completed</t>
        </is>
      </c>
      <c r="K60" s="29" t="inlineStr">
        <is>
          <t>Fully Implemented</t>
        </is>
      </c>
      <c r="L60" s="29" t="inlineStr">
        <is>
          <t>Passed</t>
        </is>
      </c>
      <c r="M60" s="29" t="inlineStr">
        <is>
          <t>Medium</t>
        </is>
      </c>
      <c r="N60" s="29" t="inlineStr">
        <is>
          <t>Low</t>
        </is>
      </c>
      <c r="O60" s="29" t="inlineStr">
        <is>
          <t>Growth</t>
        </is>
      </c>
      <c r="P60" s="29" t="inlineStr">
        <is>
          <t>Raj Balani</t>
        </is>
      </c>
      <c r="Q60" s="29" t="n">
        <v>2</v>
      </c>
      <c r="R60" s="29" t="n">
        <v>1.5</v>
      </c>
      <c r="S60" s="29" t="inlineStr"/>
      <c r="T60" s="29" t="inlineStr">
        <is>
          <t>/app/referrals</t>
        </is>
      </c>
      <c r="U60" s="29">
        <f>IFERROR(Environments!$B$3&amp;T60,T60)</f>
        <v/>
      </c>
      <c r="V60" s="29" t="inlineStr">
        <is>
          <t>Open /app/referrals. Exercise 'Referral program' (RPC credit grants). Confirm happy path for intended role; note plan gates and credit toasts.</t>
        </is>
      </c>
      <c r="W60" s="29" t="inlineStr">
        <is>
          <t>Free+</t>
        </is>
      </c>
      <c r="X60" s="29" t="inlineStr">
        <is>
          <t>0 / N/A</t>
        </is>
      </c>
      <c r="Y60" s="29" t="inlineStr"/>
    </row>
    <row r="61">
      <c r="A61" s="27" t="inlineStr">
        <is>
          <t>FEAT-059</t>
        </is>
      </c>
      <c r="B61" s="27" t="inlineStr">
        <is>
          <t>Referrals &amp; Guide</t>
        </is>
      </c>
      <c r="C61" s="27" t="inlineStr">
        <is>
          <t>In-app Guide/Help</t>
        </is>
      </c>
      <c r="D61" s="27" t="inlineStr">
        <is>
          <t>Help articles</t>
        </is>
      </c>
      <c r="E61" s="27" t="inlineStr">
        <is>
          <t>Yes</t>
        </is>
      </c>
      <c r="F61" s="27" t="inlineStr">
        <is>
          <t>Yes</t>
        </is>
      </c>
      <c r="G61" s="27" t="inlineStr">
        <is>
          <t>Yes</t>
        </is>
      </c>
      <c r="H61" s="27" t="inlineStr">
        <is>
          <t>Yes</t>
        </is>
      </c>
      <c r="I61" s="27" t="inlineStr">
        <is>
          <t>N/A</t>
        </is>
      </c>
      <c r="J61" s="27" t="inlineStr">
        <is>
          <t>Completed</t>
        </is>
      </c>
      <c r="K61" s="27" t="inlineStr">
        <is>
          <t>Fully Implemented</t>
        </is>
      </c>
      <c r="L61" s="27" t="inlineStr">
        <is>
          <t>Passed</t>
        </is>
      </c>
      <c r="M61" s="27" t="inlineStr">
        <is>
          <t>Low</t>
        </is>
      </c>
      <c r="N61" s="27" t="inlineStr">
        <is>
          <t>Low</t>
        </is>
      </c>
      <c r="O61" s="27" t="inlineStr">
        <is>
          <t>Growth</t>
        </is>
      </c>
      <c r="P61" s="27" t="inlineStr">
        <is>
          <t>Shreya Patil</t>
        </is>
      </c>
      <c r="Q61" s="27" t="n">
        <v>1.5</v>
      </c>
      <c r="R61" s="27" t="n">
        <v>1</v>
      </c>
      <c r="S61" s="27" t="inlineStr">
        <is>
          <t>Group Practice coming soon</t>
        </is>
      </c>
      <c r="T61" s="27" t="inlineStr">
        <is>
          <t>/app/referrals</t>
        </is>
      </c>
      <c r="U61" s="27">
        <f>IFERROR(Environments!$B$3&amp;T61,T61)</f>
        <v/>
      </c>
      <c r="V61" s="27" t="inlineStr">
        <is>
          <t>Open /app/referrals. Exercise 'In-app Guide/Help' (Help articles). Confirm happy path for intended role; note plan gates and credit toasts.</t>
        </is>
      </c>
      <c r="W61" s="27" t="inlineStr">
        <is>
          <t>Free+</t>
        </is>
      </c>
      <c r="X61" s="27" t="inlineStr">
        <is>
          <t>0 / N/A</t>
        </is>
      </c>
      <c r="Y61" s="27" t="inlineStr"/>
    </row>
    <row r="62">
      <c r="A62" s="29" t="inlineStr">
        <is>
          <t>FEAT-060</t>
        </is>
      </c>
      <c r="B62" s="29" t="inlineStr">
        <is>
          <t>Gov Exam Mock Tests</t>
        </is>
      </c>
      <c r="C62" s="29" t="inlineStr">
        <is>
          <t>Mock test engine</t>
        </is>
      </c>
      <c r="D62" s="29" t="inlineStr">
        <is>
          <t>create/submit/score atomic</t>
        </is>
      </c>
      <c r="E62" s="29" t="inlineStr">
        <is>
          <t>Yes</t>
        </is>
      </c>
      <c r="F62" s="29" t="inlineStr">
        <is>
          <t>Yes</t>
        </is>
      </c>
      <c r="G62" s="29" t="inlineStr">
        <is>
          <t>Yes</t>
        </is>
      </c>
      <c r="H62" s="29" t="inlineStr">
        <is>
          <t>Yes</t>
        </is>
      </c>
      <c r="I62" s="29" t="inlineStr">
        <is>
          <t>Yes</t>
        </is>
      </c>
      <c r="J62" s="29" t="inlineStr">
        <is>
          <t>Completed</t>
        </is>
      </c>
      <c r="K62" s="29" t="inlineStr">
        <is>
          <t>Fully Implemented</t>
        </is>
      </c>
      <c r="L62" s="29" t="inlineStr">
        <is>
          <t>Passed</t>
        </is>
      </c>
      <c r="M62" s="29" t="inlineStr">
        <is>
          <t>Critical</t>
        </is>
      </c>
      <c r="N62" s="29" t="inlineStr">
        <is>
          <t>High</t>
        </is>
      </c>
      <c r="O62" s="29" t="inlineStr">
        <is>
          <t>GovExams</t>
        </is>
      </c>
      <c r="P62" s="29" t="inlineStr">
        <is>
          <t>Raj Balani</t>
        </is>
      </c>
      <c r="Q62" s="29" t="n">
        <v>6</v>
      </c>
      <c r="R62" s="29" t="n">
        <v>5</v>
      </c>
      <c r="S62" s="29" t="inlineStr"/>
      <c r="T62" s="29" t="inlineStr">
        <is>
          <t>/app/mock-test</t>
        </is>
      </c>
      <c r="U62" s="29">
        <f>IFERROR(Environments!$B$3&amp;T62,T62)</f>
        <v/>
      </c>
      <c r="V62" s="29" t="inlineStr">
        <is>
          <t>Open /app/mock-test. Exercise 'Mock test engine' (create/submit/score atomic). Confirm happy path for intended role; note plan gates and credit toasts.</t>
        </is>
      </c>
      <c r="W62" s="29" t="inlineStr">
        <is>
          <t>Free+</t>
        </is>
      </c>
      <c r="X62" s="29" t="inlineStr">
        <is>
          <t>0 / N/A</t>
        </is>
      </c>
      <c r="Y62" s="29" t="inlineStr"/>
    </row>
    <row r="63">
      <c r="A63" s="27" t="inlineStr">
        <is>
          <t>FEAT-061</t>
        </is>
      </c>
      <c r="B63" s="27" t="inlineStr">
        <is>
          <t>Gov Exam Mock Tests</t>
        </is>
      </c>
      <c r="C63" s="27" t="inlineStr">
        <is>
          <t>Question bank content</t>
        </is>
      </c>
      <c r="D63" s="27" t="inlineStr">
        <is>
          <t>Seeded MCQs</t>
        </is>
      </c>
      <c r="E63" s="27" t="inlineStr">
        <is>
          <t>Yes</t>
        </is>
      </c>
      <c r="F63" s="27" t="inlineStr">
        <is>
          <t>Yes</t>
        </is>
      </c>
      <c r="G63" s="27" t="inlineStr">
        <is>
          <t>Yes</t>
        </is>
      </c>
      <c r="H63" s="27" t="inlineStr">
        <is>
          <t>N/A</t>
        </is>
      </c>
      <c r="I63" s="27" t="inlineStr">
        <is>
          <t>N/A</t>
        </is>
      </c>
      <c r="J63" s="27" t="inlineStr">
        <is>
          <t>Completed</t>
        </is>
      </c>
      <c r="K63" s="27" t="inlineStr">
        <is>
          <t>Fully Implemented</t>
        </is>
      </c>
      <c r="L63" s="27" t="inlineStr">
        <is>
          <t>Ready</t>
        </is>
      </c>
      <c r="M63" s="27" t="inlineStr">
        <is>
          <t>Critical</t>
        </is>
      </c>
      <c r="N63" s="27" t="inlineStr">
        <is>
          <t>High</t>
        </is>
      </c>
      <c r="O63" s="27" t="inlineStr">
        <is>
          <t>GovExams</t>
        </is>
      </c>
      <c r="P63" s="27" t="inlineStr">
        <is>
          <t>Raj Balani</t>
        </is>
      </c>
      <c r="Q63" s="27" t="n">
        <v>20</v>
      </c>
      <c r="R63" s="27" t="n">
        <v>8</v>
      </c>
      <c r="S63" s="27" t="inlineStr">
        <is>
          <t>~100+ MCQs via expand migration</t>
        </is>
      </c>
      <c r="T63" s="27" t="inlineStr">
        <is>
          <t>/app/mock-test</t>
        </is>
      </c>
      <c r="U63" s="27">
        <f>IFERROR(Environments!$B$3&amp;T63,T63)</f>
        <v/>
      </c>
      <c r="V63" s="27" t="inlineStr">
        <is>
          <t>Mock Test Hub → configure exam → create test. Bank should return enough questions per major exam type.</t>
        </is>
      </c>
      <c r="W63" s="27" t="inlineStr">
        <is>
          <t>Free+</t>
        </is>
      </c>
      <c r="X63" s="27" t="inlineStr">
        <is>
          <t>3 (create_mock_test) + AI gap fill 15</t>
        </is>
      </c>
      <c r="Y63" s="27" t="inlineStr"/>
    </row>
    <row r="64">
      <c r="A64" s="29" t="inlineStr">
        <is>
          <t>FEAT-062</t>
        </is>
      </c>
      <c r="B64" s="29" t="inlineStr">
        <is>
          <t>Gov Exam Mock Tests</t>
        </is>
      </c>
      <c r="C64" s="29" t="inlineStr">
        <is>
          <t>Adaptive question select</t>
        </is>
      </c>
      <c r="D64" s="29" t="inlineStr">
        <is>
          <t>select-test-questions</t>
        </is>
      </c>
      <c r="E64" s="29" t="inlineStr">
        <is>
          <t>Yes</t>
        </is>
      </c>
      <c r="F64" s="29" t="inlineStr">
        <is>
          <t>Yes</t>
        </is>
      </c>
      <c r="G64" s="29" t="inlineStr">
        <is>
          <t>Yes</t>
        </is>
      </c>
      <c r="H64" s="29" t="inlineStr">
        <is>
          <t>Yes</t>
        </is>
      </c>
      <c r="I64" s="29" t="inlineStr">
        <is>
          <t>Yes</t>
        </is>
      </c>
      <c r="J64" s="29" t="inlineStr">
        <is>
          <t>Completed</t>
        </is>
      </c>
      <c r="K64" s="29" t="inlineStr">
        <is>
          <t>Fully Implemented</t>
        </is>
      </c>
      <c r="L64" s="29" t="inlineStr">
        <is>
          <t>Passed</t>
        </is>
      </c>
      <c r="M64" s="29" t="inlineStr">
        <is>
          <t>High</t>
        </is>
      </c>
      <c r="N64" s="29" t="inlineStr">
        <is>
          <t>Medium</t>
        </is>
      </c>
      <c r="O64" s="29" t="inlineStr">
        <is>
          <t>GovExams</t>
        </is>
      </c>
      <c r="P64" s="29" t="inlineStr">
        <is>
          <t>Raj Balani</t>
        </is>
      </c>
      <c r="Q64" s="29" t="n">
        <v>3</v>
      </c>
      <c r="R64" s="29" t="n">
        <v>2</v>
      </c>
      <c r="S64" s="29" t="inlineStr"/>
      <c r="T64" s="29" t="inlineStr">
        <is>
          <t>/app/mock-test</t>
        </is>
      </c>
      <c r="U64" s="29">
        <f>IFERROR(Environments!$B$3&amp;T64,T64)</f>
        <v/>
      </c>
      <c r="V64" s="29" t="inlineStr">
        <is>
          <t>Open /app/mock-test. Exercise 'Adaptive question select' (select-test-questions). Confirm happy path for intended role; note plan gates and credit toasts.</t>
        </is>
      </c>
      <c r="W64" s="29" t="inlineStr">
        <is>
          <t>Free+</t>
        </is>
      </c>
      <c r="X64" s="29" t="inlineStr">
        <is>
          <t>0 / N/A</t>
        </is>
      </c>
      <c r="Y64" s="29" t="inlineStr"/>
    </row>
    <row r="65">
      <c r="A65" s="27" t="inlineStr">
        <is>
          <t>FEAT-063</t>
        </is>
      </c>
      <c r="B65" s="27" t="inlineStr">
        <is>
          <t>Gov Exam Mock Tests</t>
        </is>
      </c>
      <c r="C65" s="27" t="inlineStr">
        <is>
          <t>AI question gap-fill</t>
        </is>
      </c>
      <c r="D65" s="27" t="inlineStr">
        <is>
          <t>Pro + credits</t>
        </is>
      </c>
      <c r="E65" s="27" t="inlineStr">
        <is>
          <t>Yes</t>
        </is>
      </c>
      <c r="F65" s="27" t="inlineStr">
        <is>
          <t>Yes</t>
        </is>
      </c>
      <c r="G65" s="27" t="inlineStr">
        <is>
          <t>Yes</t>
        </is>
      </c>
      <c r="H65" s="27" t="inlineStr">
        <is>
          <t>Yes</t>
        </is>
      </c>
      <c r="I65" s="27" t="inlineStr">
        <is>
          <t>Yes</t>
        </is>
      </c>
      <c r="J65" s="27" t="inlineStr">
        <is>
          <t>Completed</t>
        </is>
      </c>
      <c r="K65" s="27" t="inlineStr">
        <is>
          <t>Fully Implemented</t>
        </is>
      </c>
      <c r="L65" s="27" t="inlineStr">
        <is>
          <t>In Testing</t>
        </is>
      </c>
      <c r="M65" s="27" t="inlineStr">
        <is>
          <t>High</t>
        </is>
      </c>
      <c r="N65" s="27" t="inlineStr">
        <is>
          <t>Medium</t>
        </is>
      </c>
      <c r="O65" s="27" t="inlineStr">
        <is>
          <t>GovExams</t>
        </is>
      </c>
      <c r="P65" s="27" t="inlineStr">
        <is>
          <t>Raj Balani</t>
        </is>
      </c>
      <c r="Q65" s="27" t="n">
        <v>3</v>
      </c>
      <c r="R65" s="27" t="n">
        <v>1.5</v>
      </c>
      <c r="S65" s="27" t="inlineStr"/>
      <c r="T65" s="27" t="inlineStr">
        <is>
          <t>/app/mock-test</t>
        </is>
      </c>
      <c r="U65" s="27">
        <f>IFERROR(Environments!$B$3&amp;T65,T65)</f>
        <v/>
      </c>
      <c r="V65" s="27" t="inlineStr">
        <is>
          <t>Open /app/mock-test. Exercise 'AI question gap-fill' (Pro + credits). Confirm happy path for intended role; note plan gates and credit toasts.</t>
        </is>
      </c>
      <c r="W65" s="27" t="inlineStr">
        <is>
          <t>Free+</t>
        </is>
      </c>
      <c r="X65" s="27" t="inlineStr">
        <is>
          <t>0 / N/A</t>
        </is>
      </c>
      <c r="Y65" s="27" t="inlineStr"/>
    </row>
    <row r="66">
      <c r="A66" s="29" t="inlineStr">
        <is>
          <t>FEAT-064</t>
        </is>
      </c>
      <c r="B66" s="29" t="inlineStr">
        <is>
          <t>Gov Exam Mock Tests</t>
        </is>
      </c>
      <c r="C66" s="29" t="inlineStr">
        <is>
          <t>Spaced repetition</t>
        </is>
      </c>
      <c r="D66" s="29" t="inlineStr">
        <is>
          <t>Revision schedule</t>
        </is>
      </c>
      <c r="E66" s="29" t="inlineStr">
        <is>
          <t>Yes</t>
        </is>
      </c>
      <c r="F66" s="29" t="inlineStr">
        <is>
          <t>Yes</t>
        </is>
      </c>
      <c r="G66" s="29" t="inlineStr">
        <is>
          <t>Yes</t>
        </is>
      </c>
      <c r="H66" s="29" t="inlineStr">
        <is>
          <t>Yes</t>
        </is>
      </c>
      <c r="I66" s="29" t="inlineStr">
        <is>
          <t>N/A</t>
        </is>
      </c>
      <c r="J66" s="29" t="inlineStr">
        <is>
          <t>Completed</t>
        </is>
      </c>
      <c r="K66" s="29" t="inlineStr">
        <is>
          <t>Fully Implemented</t>
        </is>
      </c>
      <c r="L66" s="29" t="inlineStr">
        <is>
          <t>In Testing</t>
        </is>
      </c>
      <c r="M66" s="29" t="inlineStr">
        <is>
          <t>Medium</t>
        </is>
      </c>
      <c r="N66" s="29" t="inlineStr">
        <is>
          <t>Low</t>
        </is>
      </c>
      <c r="O66" s="29" t="inlineStr">
        <is>
          <t>GovExams</t>
        </is>
      </c>
      <c r="P66" s="29" t="inlineStr">
        <is>
          <t>Raj Balani</t>
        </is>
      </c>
      <c r="Q66" s="29" t="n">
        <v>3</v>
      </c>
      <c r="R66" s="29" t="n">
        <v>1</v>
      </c>
      <c r="S66" s="29" t="inlineStr"/>
      <c r="T66" s="29" t="inlineStr">
        <is>
          <t>/app/mock-test</t>
        </is>
      </c>
      <c r="U66" s="29">
        <f>IFERROR(Environments!$B$3&amp;T66,T66)</f>
        <v/>
      </c>
      <c r="V66" s="29" t="inlineStr">
        <is>
          <t>Open /app/mock-test. Exercise 'Spaced repetition' (Revision schedule). Confirm happy path for intended role; note plan gates and credit toasts.</t>
        </is>
      </c>
      <c r="W66" s="29" t="inlineStr">
        <is>
          <t>Free+</t>
        </is>
      </c>
      <c r="X66" s="29" t="inlineStr">
        <is>
          <t>0 / N/A</t>
        </is>
      </c>
      <c r="Y66" s="29" t="inlineStr"/>
    </row>
    <row r="67">
      <c r="A67" s="27" t="inlineStr">
        <is>
          <t>FEAT-065</t>
        </is>
      </c>
      <c r="B67" s="27" t="inlineStr">
        <is>
          <t>Gov Exam Mock Tests</t>
        </is>
      </c>
      <c r="C67" s="27" t="inlineStr">
        <is>
          <t>Exam papers browser</t>
        </is>
      </c>
      <c r="D67" s="27" t="inlineStr">
        <is>
          <t>Past papers UI</t>
        </is>
      </c>
      <c r="E67" s="27" t="inlineStr">
        <is>
          <t>Yes</t>
        </is>
      </c>
      <c r="F67" s="27" t="inlineStr">
        <is>
          <t>Yes</t>
        </is>
      </c>
      <c r="G67" s="27" t="inlineStr">
        <is>
          <t>Yes</t>
        </is>
      </c>
      <c r="H67" s="27" t="inlineStr">
        <is>
          <t>Yes</t>
        </is>
      </c>
      <c r="I67" s="27" t="inlineStr">
        <is>
          <t>Partial</t>
        </is>
      </c>
      <c r="J67" s="27" t="inlineStr">
        <is>
          <t>In Progress</t>
        </is>
      </c>
      <c r="K67" s="27" t="inlineStr">
        <is>
          <t>Partial</t>
        </is>
      </c>
      <c r="L67" s="27" t="inlineStr">
        <is>
          <t>Failed</t>
        </is>
      </c>
      <c r="M67" s="27" t="inlineStr">
        <is>
          <t>Medium</t>
        </is>
      </c>
      <c r="N67" s="27" t="inlineStr">
        <is>
          <t>Medium</t>
        </is>
      </c>
      <c r="O67" s="27" t="inlineStr">
        <is>
          <t>GovExams</t>
        </is>
      </c>
      <c r="P67" s="27" t="inlineStr">
        <is>
          <t>Raj Balani</t>
        </is>
      </c>
      <c r="Q67" s="27" t="n">
        <v>3</v>
      </c>
      <c r="R67" s="27" t="n">
        <v>1</v>
      </c>
      <c r="S67" s="27" t="inlineStr">
        <is>
          <t>Many empty</t>
        </is>
      </c>
      <c r="T67" s="27" t="inlineStr">
        <is>
          <t>/app/mock-test</t>
        </is>
      </c>
      <c r="U67" s="27">
        <f>IFERROR(Environments!$B$3&amp;T67,T67)</f>
        <v/>
      </c>
      <c r="V67" s="27" t="inlineStr">
        <is>
          <t>Open /app/mock-test. Exercise 'Exam papers browser' (Past papers UI). Confirm happy path for intended role; note plan gates and credit toasts.</t>
        </is>
      </c>
      <c r="W67" s="27" t="inlineStr">
        <is>
          <t>Free+</t>
        </is>
      </c>
      <c r="X67" s="27" t="inlineStr">
        <is>
          <t>0 / N/A</t>
        </is>
      </c>
      <c r="Y67" s="27" t="inlineStr"/>
    </row>
    <row r="68">
      <c r="A68" s="29" t="inlineStr">
        <is>
          <t>FEAT-066</t>
        </is>
      </c>
      <c r="B68" s="29" t="inlineStr">
        <is>
          <t>Gov Exam Mock Tests</t>
        </is>
      </c>
      <c r="C68" s="29" t="inlineStr">
        <is>
          <t>PDF question import</t>
        </is>
      </c>
      <c r="D68" s="29" t="inlineStr">
        <is>
          <t>parse-question-pdf</t>
        </is>
      </c>
      <c r="E68" s="29" t="inlineStr">
        <is>
          <t>Yes</t>
        </is>
      </c>
      <c r="F68" s="29" t="inlineStr">
        <is>
          <t>Yes</t>
        </is>
      </c>
      <c r="G68" s="29" t="inlineStr">
        <is>
          <t>Yes</t>
        </is>
      </c>
      <c r="H68" s="29" t="inlineStr">
        <is>
          <t>Yes</t>
        </is>
      </c>
      <c r="I68" s="29" t="inlineStr">
        <is>
          <t>Yes</t>
        </is>
      </c>
      <c r="J68" s="29" t="inlineStr">
        <is>
          <t>Completed</t>
        </is>
      </c>
      <c r="K68" s="29" t="inlineStr">
        <is>
          <t>Fully Implemented</t>
        </is>
      </c>
      <c r="L68" s="29" t="inlineStr">
        <is>
          <t>Blocked</t>
        </is>
      </c>
      <c r="M68" s="29" t="inlineStr">
        <is>
          <t>High</t>
        </is>
      </c>
      <c r="N68" s="29" t="inlineStr">
        <is>
          <t>Medium</t>
        </is>
      </c>
      <c r="O68" s="29" t="inlineStr">
        <is>
          <t>GovExams</t>
        </is>
      </c>
      <c r="P68" s="29" t="inlineStr">
        <is>
          <t>Raj Balani</t>
        </is>
      </c>
      <c r="Q68" s="29" t="n">
        <v>4</v>
      </c>
      <c r="R68" s="29" t="n">
        <v>1</v>
      </c>
      <c r="S68" s="29" t="inlineStr">
        <is>
          <t>Quota/env</t>
        </is>
      </c>
      <c r="T68" s="29" t="inlineStr">
        <is>
          <t>/app/mock-test</t>
        </is>
      </c>
      <c r="U68" s="29">
        <f>IFERROR(Environments!$B$3&amp;T68,T68)</f>
        <v/>
      </c>
      <c r="V68" s="29" t="inlineStr">
        <is>
          <t>Open /app/mock-test. Exercise 'PDF question import' (parse-question-pdf). Confirm happy path for intended role; note plan gates and credit toasts.</t>
        </is>
      </c>
      <c r="W68" s="29" t="inlineStr">
        <is>
          <t>Free+</t>
        </is>
      </c>
      <c r="X68" s="29" t="inlineStr">
        <is>
          <t>0 / N/A</t>
        </is>
      </c>
      <c r="Y68" s="29" t="inlineStr">
        <is>
          <t>BUG-OPEN-17</t>
        </is>
      </c>
    </row>
    <row r="69">
      <c r="A69" s="27" t="inlineStr">
        <is>
          <t>FEAT-067</t>
        </is>
      </c>
      <c r="B69" s="27" t="inlineStr">
        <is>
          <t>Gov Exam Mock Tests</t>
        </is>
      </c>
      <c r="C69" s="27" t="inlineStr">
        <is>
          <t>Excel/CSV import</t>
        </is>
      </c>
      <c r="D69" s="27" t="inlineStr">
        <is>
          <t>bulk-import-questions</t>
        </is>
      </c>
      <c r="E69" s="27" t="inlineStr">
        <is>
          <t>Yes</t>
        </is>
      </c>
      <c r="F69" s="27" t="inlineStr">
        <is>
          <t>Yes</t>
        </is>
      </c>
      <c r="G69" s="27" t="inlineStr">
        <is>
          <t>Yes</t>
        </is>
      </c>
      <c r="H69" s="27" t="inlineStr">
        <is>
          <t>Yes</t>
        </is>
      </c>
      <c r="I69" s="27" t="inlineStr">
        <is>
          <t>Yes</t>
        </is>
      </c>
      <c r="J69" s="27" t="inlineStr">
        <is>
          <t>Completed</t>
        </is>
      </c>
      <c r="K69" s="27" t="inlineStr">
        <is>
          <t>Fully Implemented</t>
        </is>
      </c>
      <c r="L69" s="27" t="inlineStr">
        <is>
          <t>In Testing</t>
        </is>
      </c>
      <c r="M69" s="27" t="inlineStr">
        <is>
          <t>High</t>
        </is>
      </c>
      <c r="N69" s="27" t="inlineStr">
        <is>
          <t>Medium</t>
        </is>
      </c>
      <c r="O69" s="27" t="inlineStr">
        <is>
          <t>GovExams</t>
        </is>
      </c>
      <c r="P69" s="27" t="inlineStr">
        <is>
          <t>Raj Balani</t>
        </is>
      </c>
      <c r="Q69" s="27" t="n">
        <v>3</v>
      </c>
      <c r="R69" s="27" t="n">
        <v>2</v>
      </c>
      <c r="S69" s="27" t="inlineStr"/>
      <c r="T69" s="27" t="inlineStr">
        <is>
          <t>/app/mock-test</t>
        </is>
      </c>
      <c r="U69" s="27">
        <f>IFERROR(Environments!$B$3&amp;T69,T69)</f>
        <v/>
      </c>
      <c r="V69" s="27" t="inlineStr">
        <is>
          <t>Open /app/mock-test. Exercise 'Excel/CSV import' (bulk-import-questions). Confirm happy path for intended role; note plan gates and credit toasts.</t>
        </is>
      </c>
      <c r="W69" s="27" t="inlineStr">
        <is>
          <t>Free+</t>
        </is>
      </c>
      <c r="X69" s="27" t="inlineStr">
        <is>
          <t>0 / N/A</t>
        </is>
      </c>
      <c r="Y69" s="27" t="inlineStr"/>
    </row>
    <row r="70">
      <c r="A70" s="29" t="inlineStr">
        <is>
          <t>FEAT-068</t>
        </is>
      </c>
      <c r="B70" s="29" t="inlineStr">
        <is>
          <t>Gov Exam Mock Tests</t>
        </is>
      </c>
      <c r="C70" s="29" t="inlineStr">
        <is>
          <t>Collect exam papers</t>
        </is>
      </c>
      <c r="D70" s="29" t="inlineStr">
        <is>
          <t>collect-exam-papers</t>
        </is>
      </c>
      <c r="E70" s="29" t="inlineStr">
        <is>
          <t>Yes</t>
        </is>
      </c>
      <c r="F70" s="29" t="inlineStr">
        <is>
          <t>Yes</t>
        </is>
      </c>
      <c r="G70" s="29" t="inlineStr">
        <is>
          <t>Yes</t>
        </is>
      </c>
      <c r="H70" s="29" t="inlineStr">
        <is>
          <t>Yes</t>
        </is>
      </c>
      <c r="I70" s="29" t="inlineStr">
        <is>
          <t>Yes</t>
        </is>
      </c>
      <c r="J70" s="29" t="inlineStr">
        <is>
          <t>In Progress</t>
        </is>
      </c>
      <c r="K70" s="29" t="inlineStr">
        <is>
          <t>Partial</t>
        </is>
      </c>
      <c r="L70" s="29" t="inlineStr">
        <is>
          <t>Blocked</t>
        </is>
      </c>
      <c r="M70" s="29" t="inlineStr">
        <is>
          <t>Medium</t>
        </is>
      </c>
      <c r="N70" s="29" t="inlineStr">
        <is>
          <t>High</t>
        </is>
      </c>
      <c r="O70" s="29" t="inlineStr">
        <is>
          <t>GovExams</t>
        </is>
      </c>
      <c r="P70" s="29" t="inlineStr">
        <is>
          <t>Raj Balani</t>
        </is>
      </c>
      <c r="Q70" s="29" t="n">
        <v>4</v>
      </c>
      <c r="R70" s="29" t="n">
        <v>0.5</v>
      </c>
      <c r="S70" s="29" t="inlineStr">
        <is>
          <t>Brittle hosts</t>
        </is>
      </c>
      <c r="T70" s="29" t="inlineStr">
        <is>
          <t>/app/mock-test</t>
        </is>
      </c>
      <c r="U70" s="29">
        <f>IFERROR(Environments!$B$3&amp;T70,T70)</f>
        <v/>
      </c>
      <c r="V70" s="29" t="inlineStr">
        <is>
          <t>Open /app/mock-test. Exercise 'Collect exam papers' (collect-exam-papers). Confirm happy path for intended role; note plan gates and credit toasts.</t>
        </is>
      </c>
      <c r="W70" s="29" t="inlineStr">
        <is>
          <t>Free+</t>
        </is>
      </c>
      <c r="X70" s="29" t="inlineStr">
        <is>
          <t>0 / N/A</t>
        </is>
      </c>
      <c r="Y70" s="29" t="inlineStr">
        <is>
          <t>BUG-OPEN-17</t>
        </is>
      </c>
    </row>
    <row r="71">
      <c r="A71" s="27" t="inlineStr">
        <is>
          <t>FEAT-069</t>
        </is>
      </c>
      <c r="B71" s="27" t="inlineStr">
        <is>
          <t>Gov Exam Mock Tests</t>
        </is>
      </c>
      <c r="C71" s="27" t="inlineStr">
        <is>
          <t>Python scraper service</t>
        </is>
      </c>
      <c r="D71" s="27" t="inlineStr">
        <is>
          <t>External scraper</t>
        </is>
      </c>
      <c r="E71" s="27" t="inlineStr">
        <is>
          <t>N/A</t>
        </is>
      </c>
      <c r="F71" s="27" t="inlineStr">
        <is>
          <t>Partial</t>
        </is>
      </c>
      <c r="G71" s="27" t="inlineStr">
        <is>
          <t>Yes</t>
        </is>
      </c>
      <c r="H71" s="27" t="inlineStr">
        <is>
          <t>N/A</t>
        </is>
      </c>
      <c r="I71" s="27" t="inlineStr">
        <is>
          <t>N/A</t>
        </is>
      </c>
      <c r="J71" s="27" t="inlineStr">
        <is>
          <t>Not Started</t>
        </is>
      </c>
      <c r="K71" s="27" t="inlineStr">
        <is>
          <t>Partial</t>
        </is>
      </c>
      <c r="L71" s="27" t="inlineStr">
        <is>
          <t>Not Tested</t>
        </is>
      </c>
      <c r="M71" s="27" t="inlineStr">
        <is>
          <t>Medium</t>
        </is>
      </c>
      <c r="N71" s="27" t="inlineStr">
        <is>
          <t>High</t>
        </is>
      </c>
      <c r="O71" s="27" t="inlineStr">
        <is>
          <t>GovExams</t>
        </is>
      </c>
      <c r="P71" s="27" t="inlineStr">
        <is>
          <t>Raj Balani</t>
        </is>
      </c>
      <c r="Q71" s="27" t="n">
        <v>16</v>
      </c>
      <c r="R71" s="27" t="n">
        <v>0</v>
      </c>
      <c r="S71" s="27" t="inlineStr">
        <is>
          <t>Not deployed</t>
        </is>
      </c>
      <c r="T71" s="27" t="inlineStr">
        <is>
          <t>/app/mock-test</t>
        </is>
      </c>
      <c r="U71" s="27">
        <f>IFERROR(Environments!$B$3&amp;T71,T71)</f>
        <v/>
      </c>
      <c r="V71" s="27" t="inlineStr">
        <is>
          <t>Open /app/mock-test. Exercise 'Python scraper service' (External scraper). Confirm happy path for intended role; note plan gates and credit toasts.</t>
        </is>
      </c>
      <c r="W71" s="27" t="inlineStr">
        <is>
          <t>Free+</t>
        </is>
      </c>
      <c r="X71" s="27" t="inlineStr">
        <is>
          <t>0 / N/A</t>
        </is>
      </c>
      <c r="Y71" s="27" t="inlineStr"/>
    </row>
    <row r="72">
      <c r="A72" s="29" t="inlineStr">
        <is>
          <t>FEAT-070</t>
        </is>
      </c>
      <c r="B72" s="29" t="inlineStr">
        <is>
          <t>Gov Exam Mock Tests</t>
        </is>
      </c>
      <c r="C72" s="29" t="inlineStr">
        <is>
          <t>India region gate</t>
        </is>
      </c>
      <c r="D72" s="29" t="inlineStr">
        <is>
          <t>India-only UI/gate</t>
        </is>
      </c>
      <c r="E72" s="29" t="inlineStr">
        <is>
          <t>Yes</t>
        </is>
      </c>
      <c r="F72" s="29" t="inlineStr">
        <is>
          <t>Yes</t>
        </is>
      </c>
      <c r="G72" s="29" t="inlineStr">
        <is>
          <t>N/A</t>
        </is>
      </c>
      <c r="H72" s="29" t="inlineStr">
        <is>
          <t>N/A</t>
        </is>
      </c>
      <c r="I72" s="29" t="inlineStr">
        <is>
          <t>N/A</t>
        </is>
      </c>
      <c r="J72" s="29" t="inlineStr">
        <is>
          <t>Completed</t>
        </is>
      </c>
      <c r="K72" s="29" t="inlineStr">
        <is>
          <t>Partial</t>
        </is>
      </c>
      <c r="L72" s="29" t="inlineStr">
        <is>
          <t>Passed</t>
        </is>
      </c>
      <c r="M72" s="29" t="inlineStr">
        <is>
          <t>Low</t>
        </is>
      </c>
      <c r="N72" s="29" t="inlineStr">
        <is>
          <t>Low</t>
        </is>
      </c>
      <c r="O72" s="29" t="inlineStr">
        <is>
          <t>Platform</t>
        </is>
      </c>
      <c r="P72" s="29" t="inlineStr">
        <is>
          <t>Shreya Patil</t>
        </is>
      </c>
      <c r="Q72" s="29" t="n">
        <v>1</v>
      </c>
      <c r="R72" s="29" t="n">
        <v>0.5</v>
      </c>
      <c r="S72" s="29" t="inlineStr">
        <is>
          <t>Claims removed; gate disabled</t>
        </is>
      </c>
      <c r="T72" s="29" t="inlineStr">
        <is>
          <t>/app/mock-test</t>
        </is>
      </c>
      <c r="U72" s="29">
        <f>IFERROR(Environments!$B$3&amp;T72,T72)</f>
        <v/>
      </c>
      <c r="V72" s="29" t="inlineStr">
        <is>
          <t>Open /app/mock-test. Exercise 'India region gate' (India-only UI/gate). Confirm happy path for intended role; note plan gates and credit toasts.</t>
        </is>
      </c>
      <c r="W72" s="29" t="inlineStr">
        <is>
          <t>Free+</t>
        </is>
      </c>
      <c r="X72" s="29" t="inlineStr">
        <is>
          <t>0 / N/A</t>
        </is>
      </c>
      <c r="Y72" s="29" t="inlineStr"/>
    </row>
    <row r="73">
      <c r="A73" s="27" t="inlineStr">
        <is>
          <t>FEAT-071</t>
        </is>
      </c>
      <c r="B73" s="27" t="inlineStr">
        <is>
          <t>Settings</t>
        </is>
      </c>
      <c r="C73" s="27" t="inlineStr">
        <is>
          <t>Profile/audio/appearance</t>
        </is>
      </c>
      <c r="D73" s="27" t="inlineStr">
        <is>
          <t>Core settings</t>
        </is>
      </c>
      <c r="E73" s="27" t="inlineStr">
        <is>
          <t>Yes</t>
        </is>
      </c>
      <c r="F73" s="27" t="inlineStr">
        <is>
          <t>Yes</t>
        </is>
      </c>
      <c r="G73" s="27" t="inlineStr">
        <is>
          <t>Yes</t>
        </is>
      </c>
      <c r="H73" s="27" t="inlineStr">
        <is>
          <t>N/A</t>
        </is>
      </c>
      <c r="I73" s="27" t="inlineStr">
        <is>
          <t>N/A</t>
        </is>
      </c>
      <c r="J73" s="27" t="inlineStr">
        <is>
          <t>Completed</t>
        </is>
      </c>
      <c r="K73" s="27" t="inlineStr">
        <is>
          <t>Fully Implemented</t>
        </is>
      </c>
      <c r="L73" s="27" t="inlineStr">
        <is>
          <t>Passed</t>
        </is>
      </c>
      <c r="M73" s="27" t="inlineStr">
        <is>
          <t>High</t>
        </is>
      </c>
      <c r="N73" s="27" t="inlineStr">
        <is>
          <t>Low</t>
        </is>
      </c>
      <c r="O73" s="27" t="inlineStr">
        <is>
          <t>Platform</t>
        </is>
      </c>
      <c r="P73" s="27" t="inlineStr">
        <is>
          <t>Raj Balani</t>
        </is>
      </c>
      <c r="Q73" s="27" t="n">
        <v>2</v>
      </c>
      <c r="R73" s="27" t="n">
        <v>1.5</v>
      </c>
      <c r="S73" s="27" t="inlineStr"/>
      <c r="T73" s="27" t="inlineStr">
        <is>
          <t>/app/settings</t>
        </is>
      </c>
      <c r="U73" s="27">
        <f>IFERROR(Environments!$B$3&amp;T73,T73)</f>
        <v/>
      </c>
      <c r="V73" s="27" t="inlineStr">
        <is>
          <t>Open /app/settings. Exercise 'Profile/audio/appearance' (Core settings). Confirm happy path for intended role; note plan gates and credit toasts.</t>
        </is>
      </c>
      <c r="W73" s="27" t="inlineStr">
        <is>
          <t>Free+</t>
        </is>
      </c>
      <c r="X73" s="27" t="inlineStr">
        <is>
          <t>0 / N/A</t>
        </is>
      </c>
      <c r="Y73" s="27" t="inlineStr"/>
    </row>
    <row r="74">
      <c r="A74" s="29" t="inlineStr">
        <is>
          <t>FEAT-072</t>
        </is>
      </c>
      <c r="B74" s="29" t="inlineStr">
        <is>
          <t>Settings</t>
        </is>
      </c>
      <c r="C74" s="29" t="inlineStr">
        <is>
          <t>Security MFA settings</t>
        </is>
      </c>
      <c r="D74" s="29" t="inlineStr">
        <is>
          <t>Password + TOTP</t>
        </is>
      </c>
      <c r="E74" s="29" t="inlineStr">
        <is>
          <t>Yes</t>
        </is>
      </c>
      <c r="F74" s="29" t="inlineStr">
        <is>
          <t>Yes</t>
        </is>
      </c>
      <c r="G74" s="29" t="inlineStr">
        <is>
          <t>Yes</t>
        </is>
      </c>
      <c r="H74" s="29" t="inlineStr">
        <is>
          <t>Yes</t>
        </is>
      </c>
      <c r="I74" s="29" t="inlineStr">
        <is>
          <t>N/A</t>
        </is>
      </c>
      <c r="J74" s="29" t="inlineStr">
        <is>
          <t>Completed</t>
        </is>
      </c>
      <c r="K74" s="29" t="inlineStr">
        <is>
          <t>Fully Implemented</t>
        </is>
      </c>
      <c r="L74" s="29" t="inlineStr">
        <is>
          <t>In Testing</t>
        </is>
      </c>
      <c r="M74" s="29" t="inlineStr">
        <is>
          <t>Critical</t>
        </is>
      </c>
      <c r="N74" s="29" t="inlineStr">
        <is>
          <t>High</t>
        </is>
      </c>
      <c r="O74" s="29" t="inlineStr">
        <is>
          <t>Platform</t>
        </is>
      </c>
      <c r="P74" s="29" t="inlineStr">
        <is>
          <t>Raj Balani</t>
        </is>
      </c>
      <c r="Q74" s="29" t="n">
        <v>2</v>
      </c>
      <c r="R74" s="29" t="n">
        <v>1</v>
      </c>
      <c r="S74" s="29" t="inlineStr"/>
      <c r="T74" s="29" t="inlineStr">
        <is>
          <t>/app/settings</t>
        </is>
      </c>
      <c r="U74" s="29">
        <f>IFERROR(Environments!$B$3&amp;T74,T74)</f>
        <v/>
      </c>
      <c r="V74" s="29" t="inlineStr">
        <is>
          <t>Open /app/settings. Exercise 'Security MFA settings' (Password + TOTP). Confirm happy path for intended role; note plan gates and credit toasts.</t>
        </is>
      </c>
      <c r="W74" s="29" t="inlineStr">
        <is>
          <t>Free+</t>
        </is>
      </c>
      <c r="X74" s="29" t="inlineStr">
        <is>
          <t>0 / N/A</t>
        </is>
      </c>
      <c r="Y74" s="29" t="inlineStr"/>
    </row>
    <row r="75">
      <c r="A75" s="27" t="inlineStr">
        <is>
          <t>FEAT-073</t>
        </is>
      </c>
      <c r="B75" s="27" t="inlineStr">
        <is>
          <t>Settings</t>
        </is>
      </c>
      <c r="C75" s="27" t="inlineStr">
        <is>
          <t>Data export / delete</t>
        </is>
      </c>
      <c r="D75" s="27" t="inlineStr">
        <is>
          <t>GDPR export delete</t>
        </is>
      </c>
      <c r="E75" s="27" t="inlineStr">
        <is>
          <t>Yes</t>
        </is>
      </c>
      <c r="F75" s="27" t="inlineStr">
        <is>
          <t>Yes</t>
        </is>
      </c>
      <c r="G75" s="27" t="inlineStr">
        <is>
          <t>Yes</t>
        </is>
      </c>
      <c r="H75" s="27" t="inlineStr">
        <is>
          <t>Yes</t>
        </is>
      </c>
      <c r="I75" s="27" t="inlineStr">
        <is>
          <t>Yes</t>
        </is>
      </c>
      <c r="J75" s="27" t="inlineStr">
        <is>
          <t>Completed</t>
        </is>
      </c>
      <c r="K75" s="27" t="inlineStr">
        <is>
          <t>Fully Implemented</t>
        </is>
      </c>
      <c r="L75" s="27" t="inlineStr">
        <is>
          <t>In Testing</t>
        </is>
      </c>
      <c r="M75" s="27" t="inlineStr">
        <is>
          <t>High</t>
        </is>
      </c>
      <c r="N75" s="27" t="inlineStr">
        <is>
          <t>High</t>
        </is>
      </c>
      <c r="O75" s="27" t="inlineStr">
        <is>
          <t>Platform</t>
        </is>
      </c>
      <c r="P75" s="27" t="inlineStr">
        <is>
          <t>Shreya Patil</t>
        </is>
      </c>
      <c r="Q75" s="27" t="n">
        <v>3</v>
      </c>
      <c r="R75" s="27" t="n">
        <v>1.5</v>
      </c>
      <c r="S75" s="27" t="inlineStr"/>
      <c r="T75" s="27" t="inlineStr">
        <is>
          <t>/app/settings</t>
        </is>
      </c>
      <c r="U75" s="27">
        <f>IFERROR(Environments!$B$3&amp;T75,T75)</f>
        <v/>
      </c>
      <c r="V75" s="27" t="inlineStr">
        <is>
          <t>Open /app/settings. Exercise 'Data export / delete' (GDPR export delete). Confirm happy path for intended role; note plan gates and credit toasts.</t>
        </is>
      </c>
      <c r="W75" s="27" t="inlineStr">
        <is>
          <t>Free+</t>
        </is>
      </c>
      <c r="X75" s="27" t="inlineStr">
        <is>
          <t>0 / N/A</t>
        </is>
      </c>
      <c r="Y75" s="27" t="inlineStr"/>
    </row>
    <row r="76">
      <c r="A76" s="29" t="inlineStr">
        <is>
          <t>FEAT-074</t>
        </is>
      </c>
      <c r="B76" s="29" t="inlineStr">
        <is>
          <t>Settings</t>
        </is>
      </c>
      <c r="C76" s="29" t="inlineStr">
        <is>
          <t>Hotkeys settings</t>
        </is>
      </c>
      <c r="D76" s="29" t="inlineStr">
        <is>
          <t>Overlay hotkeys UI</t>
        </is>
      </c>
      <c r="E76" s="29" t="inlineStr">
        <is>
          <t>Yes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Completed</t>
        </is>
      </c>
      <c r="K76" s="29" t="inlineStr">
        <is>
          <t>Fully Implemented</t>
        </is>
      </c>
      <c r="L76" s="29" t="inlineStr">
        <is>
          <t>Passed</t>
        </is>
      </c>
      <c r="M76" s="29" t="inlineStr">
        <is>
          <t>Medium</t>
        </is>
      </c>
      <c r="N76" s="29" t="inlineStr">
        <is>
          <t>Low</t>
        </is>
      </c>
      <c r="O76" s="29" t="inlineStr">
        <is>
          <t>Desktop</t>
        </is>
      </c>
      <c r="P76" s="29" t="inlineStr">
        <is>
          <t>Shreya Patil</t>
        </is>
      </c>
      <c r="Q76" s="29" t="n">
        <v>1.5</v>
      </c>
      <c r="R76" s="29" t="n">
        <v>1</v>
      </c>
      <c r="S76" s="29" t="inlineStr"/>
      <c r="T76" s="29" t="inlineStr">
        <is>
          <t>/app/settings</t>
        </is>
      </c>
      <c r="U76" s="29">
        <f>IFERROR(Environments!$B$3&amp;T76,T76)</f>
        <v/>
      </c>
      <c r="V76" s="29" t="inlineStr">
        <is>
          <t>Open /app/settings. Exercise 'Hotkeys settings' (Overlay hotkeys UI). Confirm happy path for intended role; note plan gates and credit toasts.</t>
        </is>
      </c>
      <c r="W76" s="29" t="inlineStr">
        <is>
          <t>Free+</t>
        </is>
      </c>
      <c r="X76" s="29" t="inlineStr">
        <is>
          <t>0 / N/A</t>
        </is>
      </c>
      <c r="Y76" s="29" t="inlineStr"/>
    </row>
    <row r="77">
      <c r="A77" s="27" t="inlineStr">
        <is>
          <t>FEAT-075</t>
        </is>
      </c>
      <c r="B77" s="27" t="inlineStr">
        <is>
          <t>Settings</t>
        </is>
      </c>
      <c r="C77" s="27" t="inlineStr">
        <is>
          <t>Privacy toggles</t>
        </is>
      </c>
      <c r="D77" s="27" t="inlineStr">
        <is>
          <t>Privacy prefs + analytics opt-out</t>
        </is>
      </c>
      <c r="E77" s="27" t="inlineStr">
        <is>
          <t>Yes</t>
        </is>
      </c>
      <c r="F77" s="27" t="inlineStr">
        <is>
          <t>Partial</t>
        </is>
      </c>
      <c r="G77" s="27" t="inlineStr">
        <is>
          <t>Yes</t>
        </is>
      </c>
      <c r="H77" s="27" t="inlineStr">
        <is>
          <t>N/A</t>
        </is>
      </c>
      <c r="I77" s="27" t="inlineStr">
        <is>
          <t>N/A</t>
        </is>
      </c>
      <c r="J77" s="27" t="inlineStr">
        <is>
          <t>Completed</t>
        </is>
      </c>
      <c r="K77" s="27" t="inlineStr">
        <is>
          <t>Partial</t>
        </is>
      </c>
      <c r="L77" s="27" t="inlineStr">
        <is>
          <t>Ready</t>
        </is>
      </c>
      <c r="M77" s="27" t="inlineStr">
        <is>
          <t>Medium</t>
        </is>
      </c>
      <c r="N77" s="27" t="inlineStr">
        <is>
          <t>Medium</t>
        </is>
      </c>
      <c r="O77" s="27" t="inlineStr">
        <is>
          <t>Platform</t>
        </is>
      </c>
      <c r="P77" s="27" t="inlineStr">
        <is>
          <t>Raj Balani</t>
        </is>
      </c>
      <c r="Q77" s="27" t="n">
        <v>1.5</v>
      </c>
      <c r="R77" s="27" t="n">
        <v>1</v>
      </c>
      <c r="S77" s="27" t="inlineStr">
        <is>
          <t>PostHog enforced; others honesty</t>
        </is>
      </c>
      <c r="T77" s="27" t="inlineStr">
        <is>
          <t>/app/settings/privacy</t>
        </is>
      </c>
      <c r="U77" s="27">
        <f>IFERROR(Environments!$B$3&amp;T77,T77)</f>
        <v/>
      </c>
      <c r="V77" s="27" t="inlineStr">
        <is>
          <t>Settings → Privacy. Save analytics off; confirm PostHog opt-out. Other toggles show honesty copy.</t>
        </is>
      </c>
      <c r="W77" s="27" t="inlineStr">
        <is>
          <t>Free+</t>
        </is>
      </c>
      <c r="X77" s="27" t="inlineStr">
        <is>
          <t>0 / N/A</t>
        </is>
      </c>
      <c r="Y77" s="27" t="inlineStr"/>
    </row>
    <row r="78">
      <c r="A78" s="29" t="inlineStr">
        <is>
          <t>FEAT-076</t>
        </is>
      </c>
      <c r="B78" s="29" t="inlineStr">
        <is>
          <t>Settings</t>
        </is>
      </c>
      <c r="C78" s="29" t="inlineStr">
        <is>
          <t>Notification toggles</t>
        </is>
      </c>
      <c r="D78" s="29" t="inlineStr">
        <is>
          <t>Email/push prefs</t>
        </is>
      </c>
      <c r="E78" s="29" t="inlineStr">
        <is>
          <t>Yes</t>
        </is>
      </c>
      <c r="F78" s="29" t="inlineStr">
        <is>
          <t>Partial</t>
        </is>
      </c>
      <c r="G78" s="29" t="inlineStr">
        <is>
          <t>Yes</t>
        </is>
      </c>
      <c r="H78" s="29" t="inlineStr">
        <is>
          <t>N/A</t>
        </is>
      </c>
      <c r="I78" s="29" t="inlineStr">
        <is>
          <t>N/A</t>
        </is>
      </c>
      <c r="J78" s="29" t="inlineStr">
        <is>
          <t>In Progress</t>
        </is>
      </c>
      <c r="K78" s="29" t="inlineStr">
        <is>
          <t>Partial</t>
        </is>
      </c>
      <c r="L78" s="29" t="inlineStr">
        <is>
          <t>Failed</t>
        </is>
      </c>
      <c r="M78" s="29" t="inlineStr">
        <is>
          <t>Medium</t>
        </is>
      </c>
      <c r="N78" s="29" t="inlineStr">
        <is>
          <t>Medium</t>
        </is>
      </c>
      <c r="O78" s="29" t="inlineStr">
        <is>
          <t>Platform</t>
        </is>
      </c>
      <c r="P78" s="29" t="inlineStr">
        <is>
          <t>Raj Balani</t>
        </is>
      </c>
      <c r="Q78" s="29" t="n">
        <v>1.5</v>
      </c>
      <c r="R78" s="29" t="n">
        <v>0.5</v>
      </c>
      <c r="S78" s="29" t="inlineStr">
        <is>
          <t>Saved never read</t>
        </is>
      </c>
      <c r="T78" s="29" t="inlineStr">
        <is>
          <t>/app/settings</t>
        </is>
      </c>
      <c r="U78" s="29">
        <f>IFERROR(Environments!$B$3&amp;T78,T78)</f>
        <v/>
      </c>
      <c r="V78" s="29" t="inlineStr">
        <is>
          <t>Open /app/settings. Exercise 'Notification toggles' (Email/push prefs). Confirm happy path for intended role; note plan gates and credit toasts.</t>
        </is>
      </c>
      <c r="W78" s="29" t="inlineStr">
        <is>
          <t>Free+</t>
        </is>
      </c>
      <c r="X78" s="29" t="inlineStr">
        <is>
          <t>0 / N/A</t>
        </is>
      </c>
      <c r="Y78" s="29" t="inlineStr"/>
    </row>
    <row r="79">
      <c r="A79" s="27" t="inlineStr">
        <is>
          <t>FEAT-077</t>
        </is>
      </c>
      <c r="B79" s="27" t="inlineStr">
        <is>
          <t>Settings</t>
        </is>
      </c>
      <c r="C79" s="27" t="inlineStr">
        <is>
          <t>Retention polish</t>
        </is>
      </c>
      <c r="D79" s="27" t="inlineStr">
        <is>
          <t>Data retention</t>
        </is>
      </c>
      <c r="E79" s="27" t="inlineStr">
        <is>
          <t>Yes</t>
        </is>
      </c>
      <c r="F79" s="27" t="inlineStr">
        <is>
          <t>Partial</t>
        </is>
      </c>
      <c r="G79" s="27" t="inlineStr">
        <is>
          <t>Partial</t>
        </is>
      </c>
      <c r="H79" s="27" t="inlineStr">
        <is>
          <t>N/A</t>
        </is>
      </c>
      <c r="I79" s="27" t="inlineStr">
        <is>
          <t>N/A</t>
        </is>
      </c>
      <c r="J79" s="27" t="inlineStr">
        <is>
          <t>In Progress</t>
        </is>
      </c>
      <c r="K79" s="27" t="inlineStr">
        <is>
          <t>Partial</t>
        </is>
      </c>
      <c r="L79" s="27" t="inlineStr">
        <is>
          <t>Not Tested</t>
        </is>
      </c>
      <c r="M79" s="27" t="inlineStr">
        <is>
          <t>Low</t>
        </is>
      </c>
      <c r="N79" s="27" t="inlineStr">
        <is>
          <t>Low</t>
        </is>
      </c>
      <c r="O79" s="27" t="inlineStr">
        <is>
          <t>Platform</t>
        </is>
      </c>
      <c r="P79" s="27" t="inlineStr">
        <is>
          <t>Raj Balani</t>
        </is>
      </c>
      <c r="Q79" s="27" t="n">
        <v>2</v>
      </c>
      <c r="R79" s="27" t="n">
        <v>0</v>
      </c>
      <c r="S79" s="27" t="inlineStr">
        <is>
          <t>Not enforced</t>
        </is>
      </c>
      <c r="T79" s="27" t="inlineStr">
        <is>
          <t>/app/settings</t>
        </is>
      </c>
      <c r="U79" s="27">
        <f>IFERROR(Environments!$B$3&amp;T79,T79)</f>
        <v/>
      </c>
      <c r="V79" s="27" t="inlineStr">
        <is>
          <t>Open /app/settings. Exercise 'Retention polish' (Data retention). Confirm happy path for intended role; note plan gates and credit toasts.</t>
        </is>
      </c>
      <c r="W79" s="27" t="inlineStr">
        <is>
          <t>Free+</t>
        </is>
      </c>
      <c r="X79" s="27" t="inlineStr">
        <is>
          <t>0 / N/A</t>
        </is>
      </c>
      <c r="Y79" s="27" t="inlineStr"/>
    </row>
    <row r="80">
      <c r="A80" s="29" t="inlineStr">
        <is>
          <t>FEAT-078</t>
        </is>
      </c>
      <c r="B80" s="29" t="inlineStr">
        <is>
          <t>Settings</t>
        </is>
      </c>
      <c r="C80" s="29" t="inlineStr">
        <is>
          <t>Billing settings tab</t>
        </is>
      </c>
      <c r="D80" s="29" t="inlineStr">
        <is>
          <t>Plan credits portal</t>
        </is>
      </c>
      <c r="E80" s="29" t="inlineStr">
        <is>
          <t>Yes</t>
        </is>
      </c>
      <c r="F80" s="29" t="inlineStr">
        <is>
          <t>Yes</t>
        </is>
      </c>
      <c r="G80" s="29" t="inlineStr">
        <is>
          <t>Yes</t>
        </is>
      </c>
      <c r="H80" s="29" t="inlineStr">
        <is>
          <t>Yes</t>
        </is>
      </c>
      <c r="I80" s="29" t="inlineStr">
        <is>
          <t>Yes</t>
        </is>
      </c>
      <c r="J80" s="29" t="inlineStr">
        <is>
          <t>Completed</t>
        </is>
      </c>
      <c r="K80" s="29" t="inlineStr">
        <is>
          <t>Fully Implemented</t>
        </is>
      </c>
      <c r="L80" s="29" t="inlineStr">
        <is>
          <t>Passed</t>
        </is>
      </c>
      <c r="M80" s="29" t="inlineStr">
        <is>
          <t>Critical</t>
        </is>
      </c>
      <c r="N80" s="29" t="inlineStr">
        <is>
          <t>High</t>
        </is>
      </c>
      <c r="O80" s="29" t="inlineStr">
        <is>
          <t>Billing</t>
        </is>
      </c>
      <c r="P80" s="29" t="inlineStr">
        <is>
          <t>Raj Balani</t>
        </is>
      </c>
      <c r="Q80" s="29" t="n">
        <v>3</v>
      </c>
      <c r="R80" s="29" t="n">
        <v>2.5</v>
      </c>
      <c r="S80" s="29" t="inlineStr">
        <is>
          <t>Ledger usage P2-6</t>
        </is>
      </c>
      <c r="T80" s="29" t="inlineStr">
        <is>
          <t>/app/settings</t>
        </is>
      </c>
      <c r="U80" s="29">
        <f>IFERROR(Environments!$B$3&amp;T80,T80)</f>
        <v/>
      </c>
      <c r="V80" s="29" t="inlineStr">
        <is>
          <t>Open /app/settings. Exercise 'Billing settings tab' (Plan credits portal). Confirm happy path for intended role; note plan gates and credit toasts.</t>
        </is>
      </c>
      <c r="W80" s="29" t="inlineStr">
        <is>
          <t>Free+</t>
        </is>
      </c>
      <c r="X80" s="29" t="inlineStr">
        <is>
          <t>0 / N/A</t>
        </is>
      </c>
      <c r="Y80" s="29" t="inlineStr"/>
    </row>
    <row r="81">
      <c r="A81" s="27" t="inlineStr">
        <is>
          <t>FEAT-079</t>
        </is>
      </c>
      <c r="B81" s="27" t="inlineStr">
        <is>
          <t>Settings</t>
        </is>
      </c>
      <c r="C81" s="27" t="inlineStr">
        <is>
          <t>Integrations calendar</t>
        </is>
      </c>
      <c r="D81" s="27" t="inlineStr">
        <is>
          <t>Google connect UI</t>
        </is>
      </c>
      <c r="E81" s="27" t="inlineStr">
        <is>
          <t>Yes</t>
        </is>
      </c>
      <c r="F81" s="27" t="inlineStr">
        <is>
          <t>Yes</t>
        </is>
      </c>
      <c r="G81" s="27" t="inlineStr">
        <is>
          <t>Yes</t>
        </is>
      </c>
      <c r="H81" s="27" t="inlineStr">
        <is>
          <t>Yes</t>
        </is>
      </c>
      <c r="I81" s="27" t="inlineStr">
        <is>
          <t>Yes</t>
        </is>
      </c>
      <c r="J81" s="27" t="inlineStr">
        <is>
          <t>In Progress</t>
        </is>
      </c>
      <c r="K81" s="27" t="inlineStr">
        <is>
          <t>Partial</t>
        </is>
      </c>
      <c r="L81" s="27" t="inlineStr">
        <is>
          <t>Blocked</t>
        </is>
      </c>
      <c r="M81" s="27" t="inlineStr">
        <is>
          <t>High</t>
        </is>
      </c>
      <c r="N81" s="27" t="inlineStr">
        <is>
          <t>Medium</t>
        </is>
      </c>
      <c r="O81" s="27" t="inlineStr">
        <is>
          <t>Scheduling</t>
        </is>
      </c>
      <c r="P81" s="27" t="inlineStr">
        <is>
          <t>Raj Balani</t>
        </is>
      </c>
      <c r="Q81" s="27" t="n">
        <v>2</v>
      </c>
      <c r="R81" s="27" t="n">
        <v>1</v>
      </c>
      <c r="S81" s="27" t="inlineStr"/>
      <c r="T81" s="27" t="inlineStr">
        <is>
          <t>/app/settings/integrations</t>
        </is>
      </c>
      <c r="U81" s="27">
        <f>IFERROR(Environments!$B$3&amp;T81,T81)</f>
        <v/>
      </c>
      <c r="V81" s="27" t="inlineStr">
        <is>
          <t>Open /app/settings/integrations. Exercise 'Integrations calendar' (Google connect UI). Confirm happy path for intended role; note plan gates and credit toasts.</t>
        </is>
      </c>
      <c r="W81" s="27" t="inlineStr">
        <is>
          <t>Free+</t>
        </is>
      </c>
      <c r="X81" s="27" t="inlineStr">
        <is>
          <t>0 / N/A</t>
        </is>
      </c>
      <c r="Y81" s="27" t="inlineStr"/>
    </row>
    <row r="82">
      <c r="A82" s="29" t="inlineStr">
        <is>
          <t>FEAT-080</t>
        </is>
      </c>
      <c r="B82" s="29" t="inlineStr">
        <is>
          <t>Admin Portal</t>
        </is>
      </c>
      <c r="C82" s="29" t="inlineStr">
        <is>
          <t>Admin users management</t>
        </is>
      </c>
      <c r="D82" s="29" t="inlineStr">
        <is>
          <t>List/filter users</t>
        </is>
      </c>
      <c r="E82" s="29" t="inlineStr">
        <is>
          <t>Yes</t>
        </is>
      </c>
      <c r="F82" s="29" t="inlineStr">
        <is>
          <t>Yes</t>
        </is>
      </c>
      <c r="G82" s="29" t="inlineStr">
        <is>
          <t>Yes</t>
        </is>
      </c>
      <c r="H82" s="29" t="inlineStr">
        <is>
          <t>Yes</t>
        </is>
      </c>
      <c r="I82" s="29" t="inlineStr">
        <is>
          <t>N/A</t>
        </is>
      </c>
      <c r="J82" s="29" t="inlineStr">
        <is>
          <t>Completed</t>
        </is>
      </c>
      <c r="K82" s="29" t="inlineStr">
        <is>
          <t>Fully Implemented</t>
        </is>
      </c>
      <c r="L82" s="29" t="inlineStr">
        <is>
          <t>Passed</t>
        </is>
      </c>
      <c r="M82" s="29" t="inlineStr">
        <is>
          <t>Critical</t>
        </is>
      </c>
      <c r="N82" s="29" t="inlineStr">
        <is>
          <t>High</t>
        </is>
      </c>
      <c r="O82" s="29" t="inlineStr">
        <is>
          <t>Admin</t>
        </is>
      </c>
      <c r="P82" s="29" t="inlineStr">
        <is>
          <t>Raj Balani</t>
        </is>
      </c>
      <c r="Q82" s="29" t="n">
        <v>3</v>
      </c>
      <c r="R82" s="29" t="n">
        <v>2</v>
      </c>
      <c r="S82" s="29" t="inlineStr"/>
      <c r="T82" s="29" t="inlineStr">
        <is>
          <t>/app/admin</t>
        </is>
      </c>
      <c r="U82" s="29">
        <f>IFERROR(Environments!$B$3&amp;T82,T82)</f>
        <v/>
      </c>
      <c r="V82" s="29" t="inlineStr">
        <is>
          <t>Open /app/admin. Exercise 'Admin users management' (List/filter users). Confirm happy path for intended role; note plan gates and credit toasts.</t>
        </is>
      </c>
      <c r="W82" s="29" t="inlineStr">
        <is>
          <t>Admin</t>
        </is>
      </c>
      <c r="X82" s="29" t="inlineStr">
        <is>
          <t>0 / N/A</t>
        </is>
      </c>
      <c r="Y82" s="29" t="inlineStr"/>
    </row>
    <row r="83">
      <c r="A83" s="27" t="inlineStr">
        <is>
          <t>FEAT-081</t>
        </is>
      </c>
      <c r="B83" s="27" t="inlineStr">
        <is>
          <t>Admin Portal</t>
        </is>
      </c>
      <c r="C83" s="27" t="inlineStr">
        <is>
          <t>Admin analytics</t>
        </is>
      </c>
      <c r="D83" s="27" t="inlineStr">
        <is>
          <t>DAU/MAU</t>
        </is>
      </c>
      <c r="E83" s="27" t="inlineStr">
        <is>
          <t>Yes</t>
        </is>
      </c>
      <c r="F83" s="27" t="inlineStr">
        <is>
          <t>Yes</t>
        </is>
      </c>
      <c r="G83" s="27" t="inlineStr">
        <is>
          <t>Yes</t>
        </is>
      </c>
      <c r="H83" s="27" t="inlineStr">
        <is>
          <t>Yes</t>
        </is>
      </c>
      <c r="I83" s="27" t="inlineStr">
        <is>
          <t>N/A</t>
        </is>
      </c>
      <c r="J83" s="27" t="inlineStr">
        <is>
          <t>Completed</t>
        </is>
      </c>
      <c r="K83" s="27" t="inlineStr">
        <is>
          <t>Fully Implemented</t>
        </is>
      </c>
      <c r="L83" s="27" t="inlineStr">
        <is>
          <t>In Testing</t>
        </is>
      </c>
      <c r="M83" s="27" t="inlineStr">
        <is>
          <t>High</t>
        </is>
      </c>
      <c r="N83" s="27" t="inlineStr">
        <is>
          <t>Medium</t>
        </is>
      </c>
      <c r="O83" s="27" t="inlineStr">
        <is>
          <t>Admin</t>
        </is>
      </c>
      <c r="P83" s="27" t="inlineStr">
        <is>
          <t>Raj Balani</t>
        </is>
      </c>
      <c r="Q83" s="27" t="n">
        <v>3</v>
      </c>
      <c r="R83" s="27" t="n">
        <v>1.5</v>
      </c>
      <c r="S83" s="27" t="inlineStr"/>
      <c r="T83" s="27" t="inlineStr">
        <is>
          <t>/app/admin</t>
        </is>
      </c>
      <c r="U83" s="27">
        <f>IFERROR(Environments!$B$3&amp;T83,T83)</f>
        <v/>
      </c>
      <c r="V83" s="27" t="inlineStr">
        <is>
          <t>Open /app/admin. Exercise 'Admin analytics' (DAU/MAU). Confirm happy path for intended role; note plan gates and credit toasts.</t>
        </is>
      </c>
      <c r="W83" s="27" t="inlineStr">
        <is>
          <t>Admin</t>
        </is>
      </c>
      <c r="X83" s="27" t="inlineStr">
        <is>
          <t>0 / N/A</t>
        </is>
      </c>
      <c r="Y83" s="27" t="inlineStr"/>
    </row>
    <row r="84">
      <c r="A84" s="29" t="inlineStr">
        <is>
          <t>FEAT-082</t>
        </is>
      </c>
      <c r="B84" s="29" t="inlineStr">
        <is>
          <t>Admin Portal</t>
        </is>
      </c>
      <c r="C84" s="29" t="inlineStr">
        <is>
          <t>Admin revenue</t>
        </is>
      </c>
      <c r="D84" s="29" t="inlineStr">
        <is>
          <t>USD/INR MRR</t>
        </is>
      </c>
      <c r="E84" s="29" t="inlineStr">
        <is>
          <t>Yes</t>
        </is>
      </c>
      <c r="F84" s="29" t="inlineStr">
        <is>
          <t>Yes</t>
        </is>
      </c>
      <c r="G84" s="29" t="inlineStr">
        <is>
          <t>Yes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Completed</t>
        </is>
      </c>
      <c r="K84" s="29" t="inlineStr">
        <is>
          <t>Fully Implemented</t>
        </is>
      </c>
      <c r="L84" s="29" t="inlineStr">
        <is>
          <t>Passed</t>
        </is>
      </c>
      <c r="M84" s="29" t="inlineStr">
        <is>
          <t>Critical</t>
        </is>
      </c>
      <c r="N84" s="29" t="inlineStr">
        <is>
          <t>High</t>
        </is>
      </c>
      <c r="O84" s="29" t="inlineStr">
        <is>
          <t>Admin</t>
        </is>
      </c>
      <c r="P84" s="29" t="inlineStr">
        <is>
          <t>Raj Balani</t>
        </is>
      </c>
      <c r="Q84" s="29" t="n">
        <v>4</v>
      </c>
      <c r="R84" s="29" t="n">
        <v>3</v>
      </c>
      <c r="S84" s="29" t="inlineStr">
        <is>
          <t>P0-6 fixed</t>
        </is>
      </c>
      <c r="T84" s="29" t="inlineStr">
        <is>
          <t>/app/admin</t>
        </is>
      </c>
      <c r="U84" s="29">
        <f>IFERROR(Environments!$B$3&amp;T84,T84)</f>
        <v/>
      </c>
      <c r="V84" s="29" t="inlineStr">
        <is>
          <t>Open /app/admin. Exercise 'Admin revenue' (USD/INR MRR). Confirm happy path for intended role; note plan gates and credit toasts.</t>
        </is>
      </c>
      <c r="W84" s="29" t="inlineStr">
        <is>
          <t>Admin</t>
        </is>
      </c>
      <c r="X84" s="29" t="inlineStr">
        <is>
          <t>0 / N/A</t>
        </is>
      </c>
      <c r="Y84" s="29" t="inlineStr"/>
    </row>
    <row r="85">
      <c r="A85" s="27" t="inlineStr">
        <is>
          <t>FEAT-083</t>
        </is>
      </c>
      <c r="B85" s="27" t="inlineStr">
        <is>
          <t>Admin Portal</t>
        </is>
      </c>
      <c r="C85" s="27" t="inlineStr">
        <is>
          <t>Admin model costs</t>
        </is>
      </c>
      <c r="D85" s="27" t="inlineStr">
        <is>
          <t>Read-only AI_CREDIT_COSTS catalog</t>
        </is>
      </c>
      <c r="E85" s="27" t="inlineStr">
        <is>
          <t>Yes</t>
        </is>
      </c>
      <c r="F85" s="27" t="inlineStr">
        <is>
          <t>Yes</t>
        </is>
      </c>
      <c r="G85" s="27" t="inlineStr">
        <is>
          <t>Yes</t>
        </is>
      </c>
      <c r="H85" s="27" t="inlineStr">
        <is>
          <t>N/A</t>
        </is>
      </c>
      <c r="I85" s="27" t="inlineStr">
        <is>
          <t>N/A</t>
        </is>
      </c>
      <c r="J85" s="27" t="inlineStr">
        <is>
          <t>Completed</t>
        </is>
      </c>
      <c r="K85" s="27" t="inlineStr">
        <is>
          <t>Fully Implemented</t>
        </is>
      </c>
      <c r="L85" s="27" t="inlineStr">
        <is>
          <t>Ready</t>
        </is>
      </c>
      <c r="M85" s="27" t="inlineStr">
        <is>
          <t>Medium</t>
        </is>
      </c>
      <c r="N85" s="27" t="inlineStr">
        <is>
          <t>Medium</t>
        </is>
      </c>
      <c r="O85" s="27" t="inlineStr">
        <is>
          <t>Admin</t>
        </is>
      </c>
      <c r="P85" s="27" t="inlineStr">
        <is>
          <t>Raj Balani</t>
        </is>
      </c>
      <c r="Q85" s="27" t="n">
        <v>3</v>
      </c>
      <c r="R85" s="27" t="n">
        <v>2</v>
      </c>
      <c r="S85" s="27" t="inlineStr">
        <is>
          <t>Fake Save removed</t>
        </is>
      </c>
      <c r="T85" s="27" t="inlineStr">
        <is>
          <t>/app/admin/model-costs</t>
        </is>
      </c>
      <c r="U85" s="27">
        <f>IFERROR(Environments!$B$3&amp;T85,T85)</f>
        <v/>
      </c>
      <c r="V85" s="27" t="inlineStr">
        <is>
          <t>Admin → Model costs. Confirm read-only catalog; no Save that pretends to persist.</t>
        </is>
      </c>
      <c r="W85" s="27" t="inlineStr">
        <is>
          <t>Admin</t>
        </is>
      </c>
      <c r="X85" s="27" t="inlineStr">
        <is>
          <t>0 / N/A</t>
        </is>
      </c>
      <c r="Y85" s="27" t="inlineStr"/>
    </row>
    <row r="86">
      <c r="A86" s="29" t="inlineStr">
        <is>
          <t>FEAT-084</t>
        </is>
      </c>
      <c r="B86" s="29" t="inlineStr">
        <is>
          <t>Admin Portal</t>
        </is>
      </c>
      <c r="C86" s="29" t="inlineStr">
        <is>
          <t>Admin feature flags</t>
        </is>
      </c>
      <c r="D86" s="29" t="inlineStr">
        <is>
          <t>DB flags UI</t>
        </is>
      </c>
      <c r="E86" s="29" t="inlineStr">
        <is>
          <t>Yes</t>
        </is>
      </c>
      <c r="F86" s="29" t="inlineStr">
        <is>
          <t>Yes</t>
        </is>
      </c>
      <c r="G86" s="29" t="inlineStr">
        <is>
          <t>Yes</t>
        </is>
      </c>
      <c r="H86" s="29" t="inlineStr">
        <is>
          <t>N/A</t>
        </is>
      </c>
      <c r="I86" s="29" t="inlineStr">
        <is>
          <t>N/A</t>
        </is>
      </c>
      <c r="J86" s="29" t="inlineStr">
        <is>
          <t>Completed</t>
        </is>
      </c>
      <c r="K86" s="29" t="inlineStr">
        <is>
          <t>Fully Implemented</t>
        </is>
      </c>
      <c r="L86" s="29" t="inlineStr">
        <is>
          <t>In Testing</t>
        </is>
      </c>
      <c r="M86" s="29" t="inlineStr">
        <is>
          <t>High</t>
        </is>
      </c>
      <c r="N86" s="29" t="inlineStr">
        <is>
          <t>Medium</t>
        </is>
      </c>
      <c r="O86" s="29" t="inlineStr">
        <is>
          <t>Admin</t>
        </is>
      </c>
      <c r="P86" s="29" t="inlineStr">
        <is>
          <t>Raj Balani</t>
        </is>
      </c>
      <c r="Q86" s="29" t="n">
        <v>2</v>
      </c>
      <c r="R86" s="29" t="n">
        <v>1</v>
      </c>
      <c r="S86" s="29" t="inlineStr"/>
      <c r="T86" s="29" t="inlineStr">
        <is>
          <t>/app/admin</t>
        </is>
      </c>
      <c r="U86" s="29">
        <f>IFERROR(Environments!$B$3&amp;T86,T86)</f>
        <v/>
      </c>
      <c r="V86" s="29" t="inlineStr">
        <is>
          <t>Open /app/admin. Exercise 'Admin feature flags' (DB flags UI). Confirm happy path for intended role; note plan gates and credit toasts.</t>
        </is>
      </c>
      <c r="W86" s="29" t="inlineStr">
        <is>
          <t>Admin</t>
        </is>
      </c>
      <c r="X86" s="29" t="inlineStr">
        <is>
          <t>0 / N/A</t>
        </is>
      </c>
      <c r="Y86" s="29" t="inlineStr"/>
    </row>
    <row r="87">
      <c r="A87" s="27" t="inlineStr">
        <is>
          <t>FEAT-085</t>
        </is>
      </c>
      <c r="B87" s="27" t="inlineStr">
        <is>
          <t>Admin Portal</t>
        </is>
      </c>
      <c r="C87" s="27" t="inlineStr">
        <is>
          <t>Admin question editor</t>
        </is>
      </c>
      <c r="D87" s="27" t="inlineStr">
        <is>
          <t>CRUD + filter</t>
        </is>
      </c>
      <c r="E87" s="27" t="inlineStr">
        <is>
          <t>Yes</t>
        </is>
      </c>
      <c r="F87" s="27" t="inlineStr">
        <is>
          <t>Yes</t>
        </is>
      </c>
      <c r="G87" s="27" t="inlineStr">
        <is>
          <t>Yes</t>
        </is>
      </c>
      <c r="H87" s="27" t="inlineStr">
        <is>
          <t>N/A</t>
        </is>
      </c>
      <c r="I87" s="27" t="inlineStr">
        <is>
          <t>N/A</t>
        </is>
      </c>
      <c r="J87" s="27" t="inlineStr">
        <is>
          <t>Completed</t>
        </is>
      </c>
      <c r="K87" s="27" t="inlineStr">
        <is>
          <t>Fully Implemented</t>
        </is>
      </c>
      <c r="L87" s="27" t="inlineStr">
        <is>
          <t>Passed</t>
        </is>
      </c>
      <c r="M87" s="27" t="inlineStr">
        <is>
          <t>High</t>
        </is>
      </c>
      <c r="N87" s="27" t="inlineStr">
        <is>
          <t>Medium</t>
        </is>
      </c>
      <c r="O87" s="27" t="inlineStr">
        <is>
          <t>Admin</t>
        </is>
      </c>
      <c r="P87" s="27" t="inlineStr">
        <is>
          <t>Raj Balani</t>
        </is>
      </c>
      <c r="Q87" s="27" t="n">
        <v>4</v>
      </c>
      <c r="R87" s="27" t="n">
        <v>3</v>
      </c>
      <c r="S87" s="27" t="inlineStr">
        <is>
          <t>Filter fixed P1-5</t>
        </is>
      </c>
      <c r="T87" s="27" t="inlineStr">
        <is>
          <t>/app/admin</t>
        </is>
      </c>
      <c r="U87" s="27">
        <f>IFERROR(Environments!$B$3&amp;T87,T87)</f>
        <v/>
      </c>
      <c r="V87" s="27" t="inlineStr">
        <is>
          <t>Open /app/admin. Exercise 'Admin question editor' (CRUD + filter). Confirm happy path for intended role; note plan gates and credit toasts.</t>
        </is>
      </c>
      <c r="W87" s="27" t="inlineStr">
        <is>
          <t>Admin</t>
        </is>
      </c>
      <c r="X87" s="27" t="inlineStr">
        <is>
          <t>0 / N/A</t>
        </is>
      </c>
      <c r="Y87" s="27" t="inlineStr"/>
    </row>
    <row r="88">
      <c r="A88" s="29" t="inlineStr">
        <is>
          <t>FEAT-086</t>
        </is>
      </c>
      <c r="B88" s="29" t="inlineStr">
        <is>
          <t>Admin Portal</t>
        </is>
      </c>
      <c r="C88" s="29" t="inlineStr">
        <is>
          <t>Admin bulk upload</t>
        </is>
      </c>
      <c r="D88" s="29" t="inlineStr">
        <is>
          <t>Excel import</t>
        </is>
      </c>
      <c r="E88" s="29" t="inlineStr">
        <is>
          <t>Yes</t>
        </is>
      </c>
      <c r="F88" s="29" t="inlineStr">
        <is>
          <t>Yes</t>
        </is>
      </c>
      <c r="G88" s="29" t="inlineStr">
        <is>
          <t>Yes</t>
        </is>
      </c>
      <c r="H88" s="29" t="inlineStr">
        <is>
          <t>Yes</t>
        </is>
      </c>
      <c r="I88" s="29" t="inlineStr">
        <is>
          <t>Yes</t>
        </is>
      </c>
      <c r="J88" s="29" t="inlineStr">
        <is>
          <t>Completed</t>
        </is>
      </c>
      <c r="K88" s="29" t="inlineStr">
        <is>
          <t>Fully Implemented</t>
        </is>
      </c>
      <c r="L88" s="29" t="inlineStr">
        <is>
          <t>In Testing</t>
        </is>
      </c>
      <c r="M88" s="29" t="inlineStr">
        <is>
          <t>High</t>
        </is>
      </c>
      <c r="N88" s="29" t="inlineStr">
        <is>
          <t>Medium</t>
        </is>
      </c>
      <c r="O88" s="29" t="inlineStr">
        <is>
          <t>Admin</t>
        </is>
      </c>
      <c r="P88" s="29" t="inlineStr">
        <is>
          <t>Raj Balani</t>
        </is>
      </c>
      <c r="Q88" s="29" t="n">
        <v>3</v>
      </c>
      <c r="R88" s="29" t="n">
        <v>2</v>
      </c>
      <c r="S88" s="29" t="inlineStr"/>
      <c r="T88" s="29" t="inlineStr">
        <is>
          <t>/app/admin</t>
        </is>
      </c>
      <c r="U88" s="29">
        <f>IFERROR(Environments!$B$3&amp;T88,T88)</f>
        <v/>
      </c>
      <c r="V88" s="29" t="inlineStr">
        <is>
          <t>Open /app/admin. Exercise 'Admin bulk upload' (Excel import). Confirm happy path for intended role; note plan gates and credit toasts.</t>
        </is>
      </c>
      <c r="W88" s="29" t="inlineStr">
        <is>
          <t>Admin</t>
        </is>
      </c>
      <c r="X88" s="29" t="inlineStr">
        <is>
          <t>0 / N/A</t>
        </is>
      </c>
      <c r="Y88" s="29" t="inlineStr"/>
    </row>
    <row r="89">
      <c r="A89" s="27" t="inlineStr">
        <is>
          <t>FEAT-087</t>
        </is>
      </c>
      <c r="B89" s="27" t="inlineStr">
        <is>
          <t>Admin Portal</t>
        </is>
      </c>
      <c r="C89" s="27" t="inlineStr">
        <is>
          <t>Admin seed questions</t>
        </is>
      </c>
      <c r="D89" s="27" t="inlineStr">
        <is>
          <t>PDF AI extract</t>
        </is>
      </c>
      <c r="E89" s="27" t="inlineStr">
        <is>
          <t>Yes</t>
        </is>
      </c>
      <c r="F89" s="27" t="inlineStr">
        <is>
          <t>Yes</t>
        </is>
      </c>
      <c r="G89" s="27" t="inlineStr">
        <is>
          <t>Yes</t>
        </is>
      </c>
      <c r="H89" s="27" t="inlineStr">
        <is>
          <t>Yes</t>
        </is>
      </c>
      <c r="I89" s="27" t="inlineStr">
        <is>
          <t>Yes</t>
        </is>
      </c>
      <c r="J89" s="27" t="inlineStr">
        <is>
          <t>In Progress</t>
        </is>
      </c>
      <c r="K89" s="27" t="inlineStr">
        <is>
          <t>Partial</t>
        </is>
      </c>
      <c r="L89" s="27" t="inlineStr">
        <is>
          <t>Blocked</t>
        </is>
      </c>
      <c r="M89" s="27" t="inlineStr">
        <is>
          <t>High</t>
        </is>
      </c>
      <c r="N89" s="27" t="inlineStr">
        <is>
          <t>Medium</t>
        </is>
      </c>
      <c r="O89" s="27" t="inlineStr">
        <is>
          <t>Admin</t>
        </is>
      </c>
      <c r="P89" s="27" t="inlineStr">
        <is>
          <t>Raj Balani</t>
        </is>
      </c>
      <c r="Q89" s="27" t="n">
        <v>4</v>
      </c>
      <c r="R89" s="27" t="n">
        <v>1</v>
      </c>
      <c r="S89" s="27" t="inlineStr">
        <is>
          <t>Gap-fill stub</t>
        </is>
      </c>
      <c r="T89" s="27" t="inlineStr">
        <is>
          <t>/app/admin</t>
        </is>
      </c>
      <c r="U89" s="27">
        <f>IFERROR(Environments!$B$3&amp;T89,T89)</f>
        <v/>
      </c>
      <c r="V89" s="27" t="inlineStr">
        <is>
          <t>Open /app/admin. Exercise 'Admin seed questions' (PDF AI extract). Confirm happy path for intended role; note plan gates and credit toasts.</t>
        </is>
      </c>
      <c r="W89" s="27" t="inlineStr">
        <is>
          <t>Admin</t>
        </is>
      </c>
      <c r="X89" s="27" t="inlineStr">
        <is>
          <t>0 / N/A</t>
        </is>
      </c>
      <c r="Y89" s="27" t="inlineStr"/>
    </row>
    <row r="90">
      <c r="A90" s="29" t="inlineStr">
        <is>
          <t>FEAT-088</t>
        </is>
      </c>
      <c r="B90" s="29" t="inlineStr">
        <is>
          <t>Admin Portal</t>
        </is>
      </c>
      <c r="C90" s="29" t="inlineStr">
        <is>
          <t>Admin live chat</t>
        </is>
      </c>
      <c r="D90" s="29" t="inlineStr">
        <is>
          <t>Support realtime</t>
        </is>
      </c>
      <c r="E90" s="29" t="inlineStr">
        <is>
          <t>Yes</t>
        </is>
      </c>
      <c r="F90" s="29" t="inlineStr">
        <is>
          <t>Yes</t>
        </is>
      </c>
      <c r="G90" s="29" t="inlineStr">
        <is>
          <t>Yes</t>
        </is>
      </c>
      <c r="H90" s="29" t="inlineStr">
        <is>
          <t>Yes</t>
        </is>
      </c>
      <c r="I90" s="29" t="inlineStr">
        <is>
          <t>N/A</t>
        </is>
      </c>
      <c r="J90" s="29" t="inlineStr">
        <is>
          <t>Completed</t>
        </is>
      </c>
      <c r="K90" s="29" t="inlineStr">
        <is>
          <t>Fully Implemented</t>
        </is>
      </c>
      <c r="L90" s="29" t="inlineStr">
        <is>
          <t>In Testing</t>
        </is>
      </c>
      <c r="M90" s="29" t="inlineStr">
        <is>
          <t>Medium</t>
        </is>
      </c>
      <c r="N90" s="29" t="inlineStr">
        <is>
          <t>Low</t>
        </is>
      </c>
      <c r="O90" s="29" t="inlineStr">
        <is>
          <t>Admin</t>
        </is>
      </c>
      <c r="P90" s="29" t="inlineStr">
        <is>
          <t>Raj Balani</t>
        </is>
      </c>
      <c r="Q90" s="29" t="n">
        <v>3</v>
      </c>
      <c r="R90" s="29" t="n">
        <v>2</v>
      </c>
      <c r="S90" s="29" t="inlineStr"/>
      <c r="T90" s="29" t="inlineStr">
        <is>
          <t>/app/admin/live-chat</t>
        </is>
      </c>
      <c r="U90" s="29">
        <f>IFERROR(Environments!$B$3&amp;T90,T90)</f>
        <v/>
      </c>
      <c r="V90" s="29" t="inlineStr">
        <is>
          <t>Open /app/admin/live-chat. Exercise 'Admin live chat' (Support realtime). Confirm happy path for intended role; note plan gates and credit toasts.</t>
        </is>
      </c>
      <c r="W90" s="29" t="inlineStr">
        <is>
          <t>Admin</t>
        </is>
      </c>
      <c r="X90" s="29" t="inlineStr">
        <is>
          <t>0 / N/A</t>
        </is>
      </c>
      <c r="Y90" s="29" t="inlineStr"/>
    </row>
    <row r="91">
      <c r="A91" s="27" t="inlineStr">
        <is>
          <t>FEAT-089</t>
        </is>
      </c>
      <c r="B91" s="27" t="inlineStr">
        <is>
          <t>Admin Portal</t>
        </is>
      </c>
      <c r="C91" s="27" t="inlineStr">
        <is>
          <t>Admin support page</t>
        </is>
      </c>
      <c r="D91" s="27" t="inlineStr">
        <is>
          <t>Queue + Live Chat deep link</t>
        </is>
      </c>
      <c r="E91" s="27" t="inlineStr">
        <is>
          <t>Yes</t>
        </is>
      </c>
      <c r="F91" s="27" t="inlineStr">
        <is>
          <t>Yes</t>
        </is>
      </c>
      <c r="G91" s="27" t="inlineStr">
        <is>
          <t>Yes</t>
        </is>
      </c>
      <c r="H91" s="27" t="inlineStr">
        <is>
          <t>N/A</t>
        </is>
      </c>
      <c r="I91" s="27" t="inlineStr">
        <is>
          <t>N/A</t>
        </is>
      </c>
      <c r="J91" s="27" t="inlineStr">
        <is>
          <t>Completed</t>
        </is>
      </c>
      <c r="K91" s="27" t="inlineStr">
        <is>
          <t>Fully Implemented</t>
        </is>
      </c>
      <c r="L91" s="27" t="inlineStr">
        <is>
          <t>Ready</t>
        </is>
      </c>
      <c r="M91" s="27" t="inlineStr">
        <is>
          <t>Low</t>
        </is>
      </c>
      <c r="N91" s="27" t="inlineStr">
        <is>
          <t>Low</t>
        </is>
      </c>
      <c r="O91" s="27" t="inlineStr">
        <is>
          <t>Admin</t>
        </is>
      </c>
      <c r="P91" s="27" t="inlineStr">
        <is>
          <t>Raj Balani</t>
        </is>
      </c>
      <c r="Q91" s="27" t="n">
        <v>1</v>
      </c>
      <c r="R91" s="27" t="n">
        <v>1</v>
      </c>
      <c r="S91" s="27" t="inlineStr">
        <is>
          <t>Links to /app/admin/live-chat</t>
        </is>
      </c>
      <c r="T91" s="27" t="inlineStr">
        <is>
          <t>/app/admin/support</t>
        </is>
      </c>
      <c r="U91" s="27">
        <f>IFERROR(Environments!$B$3&amp;T91,T91)</f>
        <v/>
      </c>
      <c r="V91" s="27" t="inlineStr">
        <is>
          <t>Admin → Support. Use Open Live Chat CTA to reply.</t>
        </is>
      </c>
      <c r="W91" s="27" t="inlineStr">
        <is>
          <t>Admin</t>
        </is>
      </c>
      <c r="X91" s="27" t="inlineStr">
        <is>
          <t>0 / N/A</t>
        </is>
      </c>
      <c r="Y91" s="27" t="inlineStr"/>
    </row>
    <row r="92">
      <c r="A92" s="29" t="inlineStr">
        <is>
          <t>FEAT-090</t>
        </is>
      </c>
      <c r="B92" s="29" t="inlineStr">
        <is>
          <t>Admin Portal</t>
        </is>
      </c>
      <c r="C92" s="29" t="inlineStr">
        <is>
          <t>Admin audit log</t>
        </is>
      </c>
      <c r="D92" s="29" t="inlineStr">
        <is>
          <t>Read audit log</t>
        </is>
      </c>
      <c r="E92" s="29" t="inlineStr">
        <is>
          <t>Yes</t>
        </is>
      </c>
      <c r="F92" s="29" t="inlineStr">
        <is>
          <t>Yes</t>
        </is>
      </c>
      <c r="G92" s="29" t="inlineStr">
        <is>
          <t>Yes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Completed</t>
        </is>
      </c>
      <c r="K92" s="29" t="inlineStr">
        <is>
          <t>Fully Implemented</t>
        </is>
      </c>
      <c r="L92" s="29" t="inlineStr">
        <is>
          <t>Passed</t>
        </is>
      </c>
      <c r="M92" s="29" t="inlineStr">
        <is>
          <t>Medium</t>
        </is>
      </c>
      <c r="N92" s="29" t="inlineStr">
        <is>
          <t>Low</t>
        </is>
      </c>
      <c r="O92" s="29" t="inlineStr">
        <is>
          <t>Admin</t>
        </is>
      </c>
      <c r="P92" s="29" t="inlineStr">
        <is>
          <t>Raj Balani</t>
        </is>
      </c>
      <c r="Q92" s="29" t="n">
        <v>1.5</v>
      </c>
      <c r="R92" s="29" t="n">
        <v>1</v>
      </c>
      <c r="S92" s="29" t="inlineStr"/>
      <c r="T92" s="29" t="inlineStr">
        <is>
          <t>/app/admin</t>
        </is>
      </c>
      <c r="U92" s="29">
        <f>IFERROR(Environments!$B$3&amp;T92,T92)</f>
        <v/>
      </c>
      <c r="V92" s="29" t="inlineStr">
        <is>
          <t>Open /app/admin. Exercise 'Admin audit log' (Read audit log). Confirm happy path for intended role; note plan gates and credit toasts.</t>
        </is>
      </c>
      <c r="W92" s="29" t="inlineStr">
        <is>
          <t>Admin</t>
        </is>
      </c>
      <c r="X92" s="29" t="inlineStr">
        <is>
          <t>0 / N/A</t>
        </is>
      </c>
      <c r="Y92" s="29" t="inlineStr"/>
    </row>
    <row r="93">
      <c r="A93" s="27" t="inlineStr">
        <is>
          <t>FEAT-091</t>
        </is>
      </c>
      <c r="B93" s="27" t="inlineStr">
        <is>
          <t>Admin Portal</t>
        </is>
      </c>
      <c r="C93" s="27" t="inlineStr">
        <is>
          <t>Admin QA checklist</t>
        </is>
      </c>
      <c r="D93" s="27" t="inlineStr">
        <is>
          <t>qaChecklist.json local-only</t>
        </is>
      </c>
      <c r="E93" s="27" t="inlineStr">
        <is>
          <t>Yes</t>
        </is>
      </c>
      <c r="F93" s="27" t="inlineStr">
        <is>
          <t>N/A</t>
        </is>
      </c>
      <c r="G93" s="27" t="inlineStr">
        <is>
          <t>N/A</t>
        </is>
      </c>
      <c r="H93" s="27" t="inlineStr">
        <is>
          <t>N/A</t>
        </is>
      </c>
      <c r="I93" s="27" t="inlineStr">
        <is>
          <t>N/A</t>
        </is>
      </c>
      <c r="J93" s="27" t="inlineStr">
        <is>
          <t>Completed</t>
        </is>
      </c>
      <c r="K93" s="27" t="inlineStr">
        <is>
          <t>Partial</t>
        </is>
      </c>
      <c r="L93" s="27" t="inlineStr">
        <is>
          <t>Ready</t>
        </is>
      </c>
      <c r="M93" s="27" t="inlineStr">
        <is>
          <t>Low</t>
        </is>
      </c>
      <c r="N93" s="27" t="inlineStr">
        <is>
          <t>Low</t>
        </is>
      </c>
      <c r="O93" s="27" t="inlineStr">
        <is>
          <t>Admin</t>
        </is>
      </c>
      <c r="P93" s="27" t="inlineStr">
        <is>
          <t>Shreya Patil</t>
        </is>
      </c>
      <c r="Q93" s="27" t="n">
        <v>2</v>
      </c>
      <c r="R93" s="27" t="n">
        <v>1</v>
      </c>
      <c r="S93" s="27" t="inlineStr">
        <is>
          <t>Honesty: browser localStorage only</t>
        </is>
      </c>
      <c r="T93" s="27" t="inlineStr">
        <is>
          <t>/app/admin/qa-checklist</t>
        </is>
      </c>
      <c r="U93" s="27">
        <f>IFERROR(Environments!$B$3&amp;T93,T93)</f>
        <v/>
      </c>
      <c r="V93" s="27" t="inlineStr">
        <is>
          <t>Admin → QA checklist. Confirm local-only banner; statuses stay in this browser.</t>
        </is>
      </c>
      <c r="W93" s="27" t="inlineStr">
        <is>
          <t>Admin</t>
        </is>
      </c>
      <c r="X93" s="27" t="inlineStr">
        <is>
          <t>0 / N/A</t>
        </is>
      </c>
      <c r="Y93" s="27" t="inlineStr"/>
    </row>
    <row r="94">
      <c r="A94" s="29" t="inlineStr">
        <is>
          <t>FEAT-092</t>
        </is>
      </c>
      <c r="B94" s="29" t="inlineStr">
        <is>
          <t>Admin Portal</t>
        </is>
      </c>
      <c r="C94" s="29" t="inlineStr">
        <is>
          <t>Admin promo codes</t>
        </is>
      </c>
      <c r="D94" s="29" t="inlineStr">
        <is>
          <t>CRUD promos</t>
        </is>
      </c>
      <c r="E94" s="29" t="inlineStr">
        <is>
          <t>Yes</t>
        </is>
      </c>
      <c r="F94" s="29" t="inlineStr">
        <is>
          <t>Yes</t>
        </is>
      </c>
      <c r="G94" s="29" t="inlineStr">
        <is>
          <t>Yes</t>
        </is>
      </c>
      <c r="H94" s="29" t="inlineStr">
        <is>
          <t>N/A</t>
        </is>
      </c>
      <c r="I94" s="29" t="inlineStr">
        <is>
          <t>N/A</t>
        </is>
      </c>
      <c r="J94" s="29" t="inlineStr">
        <is>
          <t>Completed</t>
        </is>
      </c>
      <c r="K94" s="29" t="inlineStr">
        <is>
          <t>Fully Implemented</t>
        </is>
      </c>
      <c r="L94" s="29" t="inlineStr">
        <is>
          <t>Passed</t>
        </is>
      </c>
      <c r="M94" s="29" t="inlineStr">
        <is>
          <t>Medium</t>
        </is>
      </c>
      <c r="N94" s="29" t="inlineStr">
        <is>
          <t>Low</t>
        </is>
      </c>
      <c r="O94" s="29" t="inlineStr">
        <is>
          <t>Admin</t>
        </is>
      </c>
      <c r="P94" s="29" t="inlineStr">
        <is>
          <t>Raj Balani</t>
        </is>
      </c>
      <c r="Q94" s="29" t="n">
        <v>2</v>
      </c>
      <c r="R94" s="29" t="n">
        <v>1.5</v>
      </c>
      <c r="S94" s="29" t="inlineStr"/>
      <c r="T94" s="29" t="inlineStr">
        <is>
          <t>/app/admin</t>
        </is>
      </c>
      <c r="U94" s="29">
        <f>IFERROR(Environments!$B$3&amp;T94,T94)</f>
        <v/>
      </c>
      <c r="V94" s="29" t="inlineStr">
        <is>
          <t>Open /app/admin. Exercise 'Admin promo codes' (CRUD promos). Confirm happy path for intended role; note plan gates and credit toasts.</t>
        </is>
      </c>
      <c r="W94" s="29" t="inlineStr">
        <is>
          <t>Admin</t>
        </is>
      </c>
      <c r="X94" s="29" t="inlineStr">
        <is>
          <t>0 / N/A</t>
        </is>
      </c>
      <c r="Y94" s="29" t="inlineStr"/>
    </row>
    <row r="95">
      <c r="A95" s="27" t="inlineStr">
        <is>
          <t>FEAT-093</t>
        </is>
      </c>
      <c r="B95" s="27" t="inlineStr">
        <is>
          <t>Admin Portal</t>
        </is>
      </c>
      <c r="C95" s="27" t="inlineStr">
        <is>
          <t>Admin billing settings</t>
        </is>
      </c>
      <c r="D95" s="27" t="inlineStr">
        <is>
          <t>INR prices referral</t>
        </is>
      </c>
      <c r="E95" s="27" t="inlineStr">
        <is>
          <t>Yes</t>
        </is>
      </c>
      <c r="F95" s="27" t="inlineStr">
        <is>
          <t>Yes</t>
        </is>
      </c>
      <c r="G95" s="27" t="inlineStr">
        <is>
          <t>Yes</t>
        </is>
      </c>
      <c r="H95" s="27" t="inlineStr">
        <is>
          <t>N/A</t>
        </is>
      </c>
      <c r="I95" s="27" t="inlineStr">
        <is>
          <t>N/A</t>
        </is>
      </c>
      <c r="J95" s="27" t="inlineStr">
        <is>
          <t>Completed</t>
        </is>
      </c>
      <c r="K95" s="27" t="inlineStr">
        <is>
          <t>Fully Implemented</t>
        </is>
      </c>
      <c r="L95" s="27" t="inlineStr">
        <is>
          <t>In Testing</t>
        </is>
      </c>
      <c r="M95" s="27" t="inlineStr">
        <is>
          <t>High</t>
        </is>
      </c>
      <c r="N95" s="27" t="inlineStr">
        <is>
          <t>Medium</t>
        </is>
      </c>
      <c r="O95" s="27" t="inlineStr">
        <is>
          <t>Admin</t>
        </is>
      </c>
      <c r="P95" s="27" t="inlineStr">
        <is>
          <t>Raj Balani</t>
        </is>
      </c>
      <c r="Q95" s="27" t="n">
        <v>2</v>
      </c>
      <c r="R95" s="27" t="n">
        <v>1.5</v>
      </c>
      <c r="S95" s="27" t="inlineStr">
        <is>
          <t>auto_deduct UI removed</t>
        </is>
      </c>
      <c r="T95" s="27" t="inlineStr">
        <is>
          <t>/app/admin</t>
        </is>
      </c>
      <c r="U95" s="27">
        <f>IFERROR(Environments!$B$3&amp;T95,T95)</f>
        <v/>
      </c>
      <c r="V95" s="27" t="inlineStr">
        <is>
          <t>Open /app/admin. Exercise 'Admin billing settings' (INR prices referral). Confirm happy path for intended role; note plan gates and credit toasts.</t>
        </is>
      </c>
      <c r="W95" s="27" t="inlineStr">
        <is>
          <t>Admin</t>
        </is>
      </c>
      <c r="X95" s="27" t="inlineStr">
        <is>
          <t>0 / N/A</t>
        </is>
      </c>
      <c r="Y95" s="27" t="inlineStr"/>
    </row>
    <row r="96">
      <c r="A96" s="29" t="inlineStr">
        <is>
          <t>FEAT-094</t>
        </is>
      </c>
      <c r="B96" s="29" t="inlineStr">
        <is>
          <t>Marketing Site</t>
        </is>
      </c>
      <c r="C96" s="29" t="inlineStr">
        <is>
          <t>Landing + pricing pages</t>
        </is>
      </c>
      <c r="D96" s="29" t="inlineStr">
        <is>
          <t>Marketing funnel</t>
        </is>
      </c>
      <c r="E96" s="29" t="inlineStr">
        <is>
          <t>Yes</t>
        </is>
      </c>
      <c r="F96" s="29" t="inlineStr">
        <is>
          <t>Partial</t>
        </is>
      </c>
      <c r="G96" s="29" t="inlineStr">
        <is>
          <t>Yes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Completed</t>
        </is>
      </c>
      <c r="K96" s="29" t="inlineStr">
        <is>
          <t>Fully Implemented</t>
        </is>
      </c>
      <c r="L96" s="29" t="inlineStr">
        <is>
          <t>Passed</t>
        </is>
      </c>
      <c r="M96" s="29" t="inlineStr">
        <is>
          <t>High</t>
        </is>
      </c>
      <c r="N96" s="29" t="inlineStr">
        <is>
          <t>Low</t>
        </is>
      </c>
      <c r="O96" s="29" t="inlineStr">
        <is>
          <t>Growth</t>
        </is>
      </c>
      <c r="P96" s="29" t="inlineStr">
        <is>
          <t>Shreya Patil</t>
        </is>
      </c>
      <c r="Q96" s="29" t="n">
        <v>3</v>
      </c>
      <c r="R96" s="29" t="n">
        <v>2</v>
      </c>
      <c r="S96" s="29" t="inlineStr">
        <is>
          <t>Max $79</t>
        </is>
      </c>
      <c r="T96" s="29" t="inlineStr">
        <is>
          <t>/</t>
        </is>
      </c>
      <c r="U96" s="29">
        <f>IFERROR(Environments!$B$3&amp;T96,T96)</f>
        <v/>
      </c>
      <c r="V96" s="29" t="inlineStr">
        <is>
          <t>Open /. Exercise 'Landing + pricing pages' (Marketing funnel). Confirm happy path for intended role; note plan gates and credit toasts.</t>
        </is>
      </c>
      <c r="W96" s="29" t="inlineStr">
        <is>
          <t>Guest</t>
        </is>
      </c>
      <c r="X96" s="29" t="inlineStr">
        <is>
          <t>0 / N/A</t>
        </is>
      </c>
      <c r="Y96" s="29" t="inlineStr"/>
    </row>
    <row r="97">
      <c r="A97" s="27" t="inlineStr">
        <is>
          <t>FEAT-095</t>
        </is>
      </c>
      <c r="B97" s="27" t="inlineStr">
        <is>
          <t>Marketing Site</t>
        </is>
      </c>
      <c r="C97" s="27" t="inlineStr">
        <is>
          <t>Help/Blog CMS</t>
        </is>
      </c>
      <c r="D97" s="27" t="inlineStr">
        <is>
          <t>DB-backed content</t>
        </is>
      </c>
      <c r="E97" s="27" t="inlineStr">
        <is>
          <t>Yes</t>
        </is>
      </c>
      <c r="F97" s="27" t="inlineStr">
        <is>
          <t>Yes</t>
        </is>
      </c>
      <c r="G97" s="27" t="inlineStr">
        <is>
          <t>Yes</t>
        </is>
      </c>
      <c r="H97" s="27" t="inlineStr">
        <is>
          <t>Yes</t>
        </is>
      </c>
      <c r="I97" s="27" t="inlineStr">
        <is>
          <t>N/A</t>
        </is>
      </c>
      <c r="J97" s="27" t="inlineStr">
        <is>
          <t>Completed</t>
        </is>
      </c>
      <c r="K97" s="27" t="inlineStr">
        <is>
          <t>Fully Implemented</t>
        </is>
      </c>
      <c r="L97" s="27" t="inlineStr">
        <is>
          <t>Passed</t>
        </is>
      </c>
      <c r="M97" s="27" t="inlineStr">
        <is>
          <t>Medium</t>
        </is>
      </c>
      <c r="N97" s="27" t="inlineStr">
        <is>
          <t>Low</t>
        </is>
      </c>
      <c r="O97" s="27" t="inlineStr">
        <is>
          <t>Growth</t>
        </is>
      </c>
      <c r="P97" s="27" t="inlineStr">
        <is>
          <t>Shreya Patil</t>
        </is>
      </c>
      <c r="Q97" s="27" t="n">
        <v>2</v>
      </c>
      <c r="R97" s="27" t="n">
        <v>1.5</v>
      </c>
      <c r="S97" s="27" t="inlineStr"/>
      <c r="T97" s="27" t="inlineStr">
        <is>
          <t>/</t>
        </is>
      </c>
      <c r="U97" s="27">
        <f>IFERROR(Environments!$B$3&amp;T97,T97)</f>
        <v/>
      </c>
      <c r="V97" s="27" t="inlineStr">
        <is>
          <t>Open /. Exercise 'Help/Blog CMS' (DB-backed content). Confirm happy path for intended role; note plan gates and credit toasts.</t>
        </is>
      </c>
      <c r="W97" s="27" t="inlineStr">
        <is>
          <t>Guest</t>
        </is>
      </c>
      <c r="X97" s="27" t="inlineStr">
        <is>
          <t>0 / N/A</t>
        </is>
      </c>
      <c r="Y97" s="27" t="inlineStr"/>
    </row>
    <row r="98">
      <c r="A98" s="29" t="inlineStr">
        <is>
          <t>FEAT-096</t>
        </is>
      </c>
      <c r="B98" s="29" t="inlineStr">
        <is>
          <t>Billing &amp; Credits</t>
        </is>
      </c>
      <c r="C98" s="29" t="inlineStr">
        <is>
          <t>Stripe checkout + webhooks</t>
        </is>
      </c>
      <c r="D98" s="29" t="inlineStr">
        <is>
          <t>Subscriptions packs</t>
        </is>
      </c>
      <c r="E98" s="29" t="inlineStr">
        <is>
          <t>Yes</t>
        </is>
      </c>
      <c r="F98" s="29" t="inlineStr">
        <is>
          <t>Yes</t>
        </is>
      </c>
      <c r="G98" s="29" t="inlineStr">
        <is>
          <t>Yes</t>
        </is>
      </c>
      <c r="H98" s="29" t="inlineStr">
        <is>
          <t>Yes</t>
        </is>
      </c>
      <c r="I98" s="29" t="inlineStr">
        <is>
          <t>Yes</t>
        </is>
      </c>
      <c r="J98" s="29" t="inlineStr">
        <is>
          <t>Completed</t>
        </is>
      </c>
      <c r="K98" s="29" t="inlineStr">
        <is>
          <t>Fully Implemented</t>
        </is>
      </c>
      <c r="L98" s="29" t="inlineStr">
        <is>
          <t>Passed</t>
        </is>
      </c>
      <c r="M98" s="29" t="inlineStr">
        <is>
          <t>Critical</t>
        </is>
      </c>
      <c r="N98" s="29" t="inlineStr">
        <is>
          <t>Critical</t>
        </is>
      </c>
      <c r="O98" s="29" t="inlineStr">
        <is>
          <t>Billing</t>
        </is>
      </c>
      <c r="P98" s="29" t="inlineStr">
        <is>
          <t>Raj Balani</t>
        </is>
      </c>
      <c r="Q98" s="29" t="n">
        <v>8</v>
      </c>
      <c r="R98" s="29" t="n">
        <v>6</v>
      </c>
      <c r="S98" s="29" t="inlineStr">
        <is>
          <t>Enterprise price IDs</t>
        </is>
      </c>
      <c r="T98" s="29" t="inlineStr">
        <is>
          <t>/app/settings/billing</t>
        </is>
      </c>
      <c r="U98" s="29">
        <f>IFERROR(Environments!$B$3&amp;T98,T98)</f>
        <v/>
      </c>
      <c r="V98" s="29" t="inlineStr">
        <is>
          <t>Open /app/settings/billing. Exercise 'Stripe checkout + webhooks' (Subscriptions packs). Confirm happy path for intended role; note plan gates and credit toasts.</t>
        </is>
      </c>
      <c r="W98" s="29" t="inlineStr">
        <is>
          <t>Free+</t>
        </is>
      </c>
      <c r="X98" s="29" t="inlineStr">
        <is>
          <t>0 / N/A</t>
        </is>
      </c>
      <c r="Y98" s="29" t="inlineStr"/>
    </row>
    <row r="99">
      <c r="A99" s="27" t="inlineStr">
        <is>
          <t>FEAT-097</t>
        </is>
      </c>
      <c r="B99" s="27" t="inlineStr">
        <is>
          <t>Billing &amp; Credits</t>
        </is>
      </c>
      <c r="C99" s="27" t="inlineStr">
        <is>
          <t>Razorpay INR checkout</t>
        </is>
      </c>
      <c r="D99" s="27" t="inlineStr">
        <is>
          <t>One-time orders</t>
        </is>
      </c>
      <c r="E99" s="27" t="inlineStr">
        <is>
          <t>Yes</t>
        </is>
      </c>
      <c r="F99" s="27" t="inlineStr">
        <is>
          <t>Yes</t>
        </is>
      </c>
      <c r="G99" s="27" t="inlineStr">
        <is>
          <t>Yes</t>
        </is>
      </c>
      <c r="H99" s="27" t="inlineStr">
        <is>
          <t>Yes</t>
        </is>
      </c>
      <c r="I99" s="27" t="inlineStr">
        <is>
          <t>Yes</t>
        </is>
      </c>
      <c r="J99" s="27" t="inlineStr">
        <is>
          <t>In Progress</t>
        </is>
      </c>
      <c r="K99" s="27" t="inlineStr">
        <is>
          <t>Partial</t>
        </is>
      </c>
      <c r="L99" s="27" t="inlineStr">
        <is>
          <t>Failed</t>
        </is>
      </c>
      <c r="M99" s="27" t="inlineStr">
        <is>
          <t>Critical</t>
        </is>
      </c>
      <c r="N99" s="27" t="inlineStr">
        <is>
          <t>High</t>
        </is>
      </c>
      <c r="O99" s="27" t="inlineStr">
        <is>
          <t>Billing</t>
        </is>
      </c>
      <c r="P99" s="27" t="inlineStr">
        <is>
          <t>Raj Balani</t>
        </is>
      </c>
      <c r="Q99" s="27" t="n">
        <v>6</v>
      </c>
      <c r="R99" s="27" t="n">
        <v>4</v>
      </c>
      <c r="S99" s="27" t="inlineStr">
        <is>
          <t>No recurring</t>
        </is>
      </c>
      <c r="T99" s="27" t="inlineStr">
        <is>
          <t>/app/settings/billing</t>
        </is>
      </c>
      <c r="U99" s="27">
        <f>IFERROR(Environments!$B$3&amp;T99,T99)</f>
        <v/>
      </c>
      <c r="V99" s="27" t="inlineStr">
        <is>
          <t>Open /app/settings/billing. Exercise 'Razorpay INR checkout' (One-time orders). Confirm happy path for intended role; note plan gates and credit toasts.</t>
        </is>
      </c>
      <c r="W99" s="27" t="inlineStr">
        <is>
          <t>Free+</t>
        </is>
      </c>
      <c r="X99" s="27" t="inlineStr">
        <is>
          <t>0 / N/A</t>
        </is>
      </c>
      <c r="Y99" s="27" t="inlineStr"/>
    </row>
    <row r="100">
      <c r="A100" s="29" t="inlineStr">
        <is>
          <t>FEAT-098</t>
        </is>
      </c>
      <c r="B100" s="29" t="inlineStr">
        <is>
          <t>Billing &amp; Credits</t>
        </is>
      </c>
      <c r="C100" s="29" t="inlineStr">
        <is>
          <t>Credits ledger</t>
        </is>
      </c>
      <c r="D100" s="29" t="inlineStr">
        <is>
          <t>Server-authoritative</t>
        </is>
      </c>
      <c r="E100" s="29" t="inlineStr">
        <is>
          <t>Yes</t>
        </is>
      </c>
      <c r="F100" s="29" t="inlineStr">
        <is>
          <t>Yes</t>
        </is>
      </c>
      <c r="G100" s="29" t="inlineStr">
        <is>
          <t>Yes</t>
        </is>
      </c>
      <c r="H100" s="29" t="inlineStr">
        <is>
          <t>Yes</t>
        </is>
      </c>
      <c r="I100" s="29" t="inlineStr">
        <is>
          <t>Yes</t>
        </is>
      </c>
      <c r="J100" s="29" t="inlineStr">
        <is>
          <t>Completed</t>
        </is>
      </c>
      <c r="K100" s="29" t="inlineStr">
        <is>
          <t>Fully Implemented</t>
        </is>
      </c>
      <c r="L100" s="29" t="inlineStr">
        <is>
          <t>Passed</t>
        </is>
      </c>
      <c r="M100" s="29" t="inlineStr">
        <is>
          <t>Critical</t>
        </is>
      </c>
      <c r="N100" s="29" t="inlineStr">
        <is>
          <t>Critical</t>
        </is>
      </c>
      <c r="O100" s="29" t="inlineStr">
        <is>
          <t>Billing</t>
        </is>
      </c>
      <c r="P100" s="29" t="inlineStr">
        <is>
          <t>Shreya Patil</t>
        </is>
      </c>
      <c r="Q100" s="29" t="n">
        <v>4</v>
      </c>
      <c r="R100" s="29" t="n">
        <v>3</v>
      </c>
      <c r="S100" s="29" t="inlineStr"/>
      <c r="T100" s="29" t="inlineStr">
        <is>
          <t>/app/settings/billing</t>
        </is>
      </c>
      <c r="U100" s="29">
        <f>IFERROR(Environments!$B$3&amp;T100,T100)</f>
        <v/>
      </c>
      <c r="V100" s="29" t="inlineStr">
        <is>
          <t>Open /app/settings/billing. Exercise 'Credits ledger' (Server-authoritative). Confirm happy path for intended role; note plan gates and credit toasts.</t>
        </is>
      </c>
      <c r="W100" s="29" t="inlineStr">
        <is>
          <t>Free+</t>
        </is>
      </c>
      <c r="X100" s="29" t="inlineStr">
        <is>
          <t>0 / N/A</t>
        </is>
      </c>
      <c r="Y100" s="29" t="inlineStr"/>
    </row>
    <row r="101">
      <c r="A101" s="27" t="inlineStr">
        <is>
          <t>FEAT-099</t>
        </is>
      </c>
      <c r="B101" s="27" t="inlineStr">
        <is>
          <t>Billing &amp; Credits</t>
        </is>
      </c>
      <c r="C101" s="27" t="inlineStr">
        <is>
          <t>Plan gating enforcement</t>
        </is>
      </c>
      <c r="D101" s="27" t="inlineStr">
        <is>
          <t>requirePlan/capability</t>
        </is>
      </c>
      <c r="E101" s="27" t="inlineStr">
        <is>
          <t>Yes</t>
        </is>
      </c>
      <c r="F101" s="27" t="inlineStr">
        <is>
          <t>Yes</t>
        </is>
      </c>
      <c r="G101" s="27" t="inlineStr">
        <is>
          <t>Yes</t>
        </is>
      </c>
      <c r="H101" s="27" t="inlineStr">
        <is>
          <t>Yes</t>
        </is>
      </c>
      <c r="I101" s="27" t="inlineStr">
        <is>
          <t>Yes</t>
        </is>
      </c>
      <c r="J101" s="27" t="inlineStr">
        <is>
          <t>Completed</t>
        </is>
      </c>
      <c r="K101" s="27" t="inlineStr">
        <is>
          <t>Fully Implemented</t>
        </is>
      </c>
      <c r="L101" s="27" t="inlineStr">
        <is>
          <t>Passed</t>
        </is>
      </c>
      <c r="M101" s="27" t="inlineStr">
        <is>
          <t>Critical</t>
        </is>
      </c>
      <c r="N101" s="27" t="inlineStr">
        <is>
          <t>Critical</t>
        </is>
      </c>
      <c r="O101" s="27" t="inlineStr">
        <is>
          <t>Billing</t>
        </is>
      </c>
      <c r="P101" s="27" t="inlineStr">
        <is>
          <t>Shreya Patil</t>
        </is>
      </c>
      <c r="Q101" s="27" t="n">
        <v>5</v>
      </c>
      <c r="R101" s="27" t="n">
        <v>4</v>
      </c>
      <c r="S101" s="27" t="inlineStr">
        <is>
          <t>starter→pro remap</t>
        </is>
      </c>
      <c r="T101" s="27" t="inlineStr">
        <is>
          <t>/app/settings/billing</t>
        </is>
      </c>
      <c r="U101" s="27">
        <f>IFERROR(Environments!$B$3&amp;T101,T101)</f>
        <v/>
      </c>
      <c r="V101" s="27" t="inlineStr">
        <is>
          <t>Open /app/settings/billing. Exercise 'Plan gating enforcement' (requirePlan/capability). Confirm happy path for intended role; note plan gates and credit toasts.</t>
        </is>
      </c>
      <c r="W101" s="27" t="inlineStr">
        <is>
          <t>Free+</t>
        </is>
      </c>
      <c r="X101" s="27" t="inlineStr">
        <is>
          <t>0 / N/A</t>
        </is>
      </c>
      <c r="Y101" s="27" t="inlineStr"/>
    </row>
    <row r="102">
      <c r="A102" s="29" t="inlineStr">
        <is>
          <t>FEAT-100</t>
        </is>
      </c>
      <c r="B102" s="29" t="inlineStr">
        <is>
          <t>Billing &amp; Credits</t>
        </is>
      </c>
      <c r="C102" s="29" t="inlineStr">
        <is>
          <t>Money refunds clawback</t>
        </is>
      </c>
      <c r="D102" s="29" t="inlineStr">
        <is>
          <t>Stripe/Razorpay refunds</t>
        </is>
      </c>
      <c r="E102" s="29" t="inlineStr">
        <is>
          <t>N/A</t>
        </is>
      </c>
      <c r="F102" s="29" t="inlineStr">
        <is>
          <t>Yes</t>
        </is>
      </c>
      <c r="G102" s="29" t="inlineStr">
        <is>
          <t>Yes</t>
        </is>
      </c>
      <c r="H102" s="29" t="inlineStr">
        <is>
          <t>Yes</t>
        </is>
      </c>
      <c r="I102" s="29" t="inlineStr">
        <is>
          <t>Yes</t>
        </is>
      </c>
      <c r="J102" s="29" t="inlineStr">
        <is>
          <t>Completed</t>
        </is>
      </c>
      <c r="K102" s="29" t="inlineStr">
        <is>
          <t>Fully Implemented</t>
        </is>
      </c>
      <c r="L102" s="29" t="inlineStr">
        <is>
          <t>In Testing</t>
        </is>
      </c>
      <c r="M102" s="29" t="inlineStr">
        <is>
          <t>Critical</t>
        </is>
      </c>
      <c r="N102" s="29" t="inlineStr">
        <is>
          <t>High</t>
        </is>
      </c>
      <c r="O102" s="29" t="inlineStr">
        <is>
          <t>Billing</t>
        </is>
      </c>
      <c r="P102" s="29" t="inlineStr">
        <is>
          <t>Shreya Patil</t>
        </is>
      </c>
      <c r="Q102" s="29" t="n">
        <v>4</v>
      </c>
      <c r="R102" s="29" t="n">
        <v>2</v>
      </c>
      <c r="S102" s="29" t="inlineStr">
        <is>
          <t>P4-2</t>
        </is>
      </c>
      <c r="T102" s="29" t="inlineStr">
        <is>
          <t>/app/settings/billing</t>
        </is>
      </c>
      <c r="U102" s="29">
        <f>IFERROR(Environments!$B$3&amp;T102,T102)</f>
        <v/>
      </c>
      <c r="V102" s="29" t="inlineStr">
        <is>
          <t>Open /app/settings/billing. Exercise 'Money refunds clawback' (Stripe/Razorpay refunds). Confirm happy path for intended role; note plan gates and credit toasts.</t>
        </is>
      </c>
      <c r="W102" s="29" t="inlineStr">
        <is>
          <t>Free+</t>
        </is>
      </c>
      <c r="X102" s="29" t="inlineStr">
        <is>
          <t>0 / N/A</t>
        </is>
      </c>
      <c r="Y102" s="29" t="inlineStr"/>
    </row>
    <row r="103">
      <c r="A103" s="27" t="inlineStr">
        <is>
          <t>FEAT-101</t>
        </is>
      </c>
      <c r="B103" s="27" t="inlineStr">
        <is>
          <t>Billing &amp; Credits</t>
        </is>
      </c>
      <c r="C103" s="27" t="inlineStr">
        <is>
          <t>Razorpay Subscriptions</t>
        </is>
      </c>
      <c r="D103" s="27" t="inlineStr">
        <is>
          <t>Recurring INR</t>
        </is>
      </c>
      <c r="E103" s="27" t="inlineStr">
        <is>
          <t>No</t>
        </is>
      </c>
      <c r="F103" s="27" t="inlineStr">
        <is>
          <t>No</t>
        </is>
      </c>
      <c r="G103" s="27" t="inlineStr">
        <is>
          <t>N/A</t>
        </is>
      </c>
      <c r="H103" s="27" t="inlineStr">
        <is>
          <t>No</t>
        </is>
      </c>
      <c r="I103" s="27" t="inlineStr">
        <is>
          <t>No</t>
        </is>
      </c>
      <c r="J103" s="27" t="inlineStr">
        <is>
          <t>Not Started</t>
        </is>
      </c>
      <c r="K103" s="27" t="inlineStr">
        <is>
          <t>Not Built</t>
        </is>
      </c>
      <c r="L103" s="27" t="inlineStr">
        <is>
          <t>Not Tested</t>
        </is>
      </c>
      <c r="M103" s="27" t="inlineStr">
        <is>
          <t>High</t>
        </is>
      </c>
      <c r="N103" s="27" t="inlineStr">
        <is>
          <t>High</t>
        </is>
      </c>
      <c r="O103" s="27" t="inlineStr">
        <is>
          <t>Billing</t>
        </is>
      </c>
      <c r="P103" s="27" t="inlineStr">
        <is>
          <t>Raj Balani</t>
        </is>
      </c>
      <c r="Q103" s="27" t="n">
        <v>12</v>
      </c>
      <c r="R103" s="27" t="n">
        <v>0</v>
      </c>
      <c r="S103" s="27" t="inlineStr">
        <is>
          <t>Roadmap</t>
        </is>
      </c>
      <c r="T103" s="27" t="inlineStr">
        <is>
          <t>/app/settings/billing</t>
        </is>
      </c>
      <c r="U103" s="27">
        <f>IFERROR(Environments!$B$3&amp;T103,T103)</f>
        <v/>
      </c>
      <c r="V103" s="27" t="inlineStr">
        <is>
          <t>Open /app/settings/billing. Exercise 'Razorpay Subscriptions' (Recurring INR). Confirm happy path for intended role; note plan gates and credit toasts.</t>
        </is>
      </c>
      <c r="W103" s="27" t="inlineStr">
        <is>
          <t>Free+</t>
        </is>
      </c>
      <c r="X103" s="27" t="inlineStr">
        <is>
          <t>0 / N/A</t>
        </is>
      </c>
      <c r="Y103" s="27" t="inlineStr"/>
    </row>
    <row r="104">
      <c r="A104" s="29" t="inlineStr">
        <is>
          <t>FEAT-102</t>
        </is>
      </c>
      <c r="B104" s="29" t="inlineStr">
        <is>
          <t>Electron Desktop Overlay</t>
        </is>
      </c>
      <c r="C104" s="29" t="inlineStr">
        <is>
          <t>Electron overlay shell</t>
        </is>
      </c>
      <c r="D104" s="29" t="inlineStr">
        <is>
          <t>Always-on-top overlay</t>
        </is>
      </c>
      <c r="E104" s="29" t="inlineStr">
        <is>
          <t>Yes</t>
        </is>
      </c>
      <c r="F104" s="29" t="inlineStr">
        <is>
          <t>N/A</t>
        </is>
      </c>
      <c r="G104" s="29" t="inlineStr">
        <is>
          <t>N/A</t>
        </is>
      </c>
      <c r="H104" s="29" t="inlineStr">
        <is>
          <t>N/A</t>
        </is>
      </c>
      <c r="I104" s="29" t="inlineStr">
        <is>
          <t>N/A</t>
        </is>
      </c>
      <c r="J104" s="29" t="inlineStr">
        <is>
          <t>In Progress</t>
        </is>
      </c>
      <c r="K104" s="29" t="inlineStr">
        <is>
          <t>Partial</t>
        </is>
      </c>
      <c r="L104" s="29" t="inlineStr">
        <is>
          <t>In Testing</t>
        </is>
      </c>
      <c r="M104" s="29" t="inlineStr">
        <is>
          <t>Critical</t>
        </is>
      </c>
      <c r="N104" s="29" t="inlineStr">
        <is>
          <t>High</t>
        </is>
      </c>
      <c r="O104" s="29" t="inlineStr">
        <is>
          <t>Desktop</t>
        </is>
      </c>
      <c r="P104" s="29" t="inlineStr">
        <is>
          <t>Shreya Patil</t>
        </is>
      </c>
      <c r="Q104" s="29" t="n">
        <v>6</v>
      </c>
      <c r="R104" s="29" t="n">
        <v>3</v>
      </c>
      <c r="S104" s="29" t="inlineStr"/>
      <c r="T104" s="29" t="inlineStr">
        <is>
          <t>(Electron app)</t>
        </is>
      </c>
      <c r="U104" s="29">
        <f>IFERROR(Environments!$B$3&amp;T104,T104)</f>
        <v/>
      </c>
      <c r="V104" s="29" t="inlineStr">
        <is>
          <t>Open (Electron app). Exercise 'Electron overlay shell' (Always-on-top overlay). Confirm happy path for intended role; note plan gates and credit toasts.</t>
        </is>
      </c>
      <c r="W104" s="29" t="inlineStr">
        <is>
          <t>Free+</t>
        </is>
      </c>
      <c r="X104" s="29" t="inlineStr">
        <is>
          <t>0 / N/A</t>
        </is>
      </c>
      <c r="Y104" s="29" t="inlineStr"/>
    </row>
    <row r="105">
      <c r="A105" s="27" t="inlineStr">
        <is>
          <t>FEAT-103</t>
        </is>
      </c>
      <c r="B105" s="27" t="inlineStr">
        <is>
          <t>Electron Desktop Overlay</t>
        </is>
      </c>
      <c r="C105" s="27" t="inlineStr">
        <is>
          <t>Overlay hotkeys native</t>
        </is>
      </c>
      <c r="D105" s="27" t="inlineStr">
        <is>
          <t>Global shortcuts</t>
        </is>
      </c>
      <c r="E105" s="27" t="inlineStr">
        <is>
          <t>Yes</t>
        </is>
      </c>
      <c r="F105" s="27" t="inlineStr">
        <is>
          <t>N/A</t>
        </is>
      </c>
      <c r="G105" s="27" t="inlineStr">
        <is>
          <t>N/A</t>
        </is>
      </c>
      <c r="H105" s="27" t="inlineStr">
        <is>
          <t>N/A</t>
        </is>
      </c>
      <c r="I105" s="27" t="inlineStr">
        <is>
          <t>N/A</t>
        </is>
      </c>
      <c r="J105" s="27" t="inlineStr">
        <is>
          <t>Completed</t>
        </is>
      </c>
      <c r="K105" s="27" t="inlineStr">
        <is>
          <t>Fully Implemented</t>
        </is>
      </c>
      <c r="L105" s="27" t="inlineStr">
        <is>
          <t>Passed</t>
        </is>
      </c>
      <c r="M105" s="27" t="inlineStr">
        <is>
          <t>High</t>
        </is>
      </c>
      <c r="N105" s="27" t="inlineStr">
        <is>
          <t>Medium</t>
        </is>
      </c>
      <c r="O105" s="27" t="inlineStr">
        <is>
          <t>Desktop</t>
        </is>
      </c>
      <c r="P105" s="27" t="inlineStr">
        <is>
          <t>Shreya Patil</t>
        </is>
      </c>
      <c r="Q105" s="27" t="n">
        <v>2</v>
      </c>
      <c r="R105" s="27" t="n">
        <v>1.5</v>
      </c>
      <c r="S105" s="27" t="inlineStr">
        <is>
          <t>No Ctrl+Shift+C dup</t>
        </is>
      </c>
      <c r="T105" s="27" t="inlineStr">
        <is>
          <t>(Electron app)</t>
        </is>
      </c>
      <c r="U105" s="27">
        <f>IFERROR(Environments!$B$3&amp;T105,T105)</f>
        <v/>
      </c>
      <c r="V105" s="27" t="inlineStr">
        <is>
          <t>Open (Electron app). Exercise 'Overlay hotkeys native' (Global shortcuts). Confirm happy path for intended role; note plan gates and credit toasts.</t>
        </is>
      </c>
      <c r="W105" s="27" t="inlineStr">
        <is>
          <t>Free+</t>
        </is>
      </c>
      <c r="X105" s="27" t="inlineStr">
        <is>
          <t>0 / N/A</t>
        </is>
      </c>
      <c r="Y105" s="27" t="inlineStr"/>
    </row>
    <row r="106">
      <c r="A106" s="29" t="inlineStr">
        <is>
          <t>FEAT-104</t>
        </is>
      </c>
      <c r="B106" s="29" t="inlineStr">
        <is>
          <t>Electron Desktop Overlay</t>
        </is>
      </c>
      <c r="C106" s="29" t="inlineStr">
        <is>
          <t>Window min size clamp</t>
        </is>
      </c>
      <c r="D106" s="29" t="inlineStr">
        <is>
          <t>360x320</t>
        </is>
      </c>
      <c r="E106" s="29" t="inlineStr">
        <is>
          <t>Yes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Completed</t>
        </is>
      </c>
      <c r="K106" s="29" t="inlineStr">
        <is>
          <t>Fully Implemented</t>
        </is>
      </c>
      <c r="L106" s="29" t="inlineStr">
        <is>
          <t>Passed</t>
        </is>
      </c>
      <c r="M106" s="29" t="inlineStr">
        <is>
          <t>Medium</t>
        </is>
      </c>
      <c r="N106" s="29" t="inlineStr">
        <is>
          <t>Low</t>
        </is>
      </c>
      <c r="O106" s="29" t="inlineStr">
        <is>
          <t>Desktop</t>
        </is>
      </c>
      <c r="P106" s="29" t="inlineStr">
        <is>
          <t>Shreya Patil</t>
        </is>
      </c>
      <c r="Q106" s="29" t="n">
        <v>1</v>
      </c>
      <c r="R106" s="29" t="n">
        <v>0.5</v>
      </c>
      <c r="S106" s="29" t="inlineStr">
        <is>
          <t>P1-9</t>
        </is>
      </c>
      <c r="T106" s="29" t="inlineStr">
        <is>
          <t>(Electron app)</t>
        </is>
      </c>
      <c r="U106" s="29">
        <f>IFERROR(Environments!$B$3&amp;T106,T106)</f>
        <v/>
      </c>
      <c r="V106" s="29" t="inlineStr">
        <is>
          <t>Open (Electron app). Exercise 'Window min size clamp' (360x320). Confirm happy path for intended role; note plan gates and credit toasts.</t>
        </is>
      </c>
      <c r="W106" s="29" t="inlineStr">
        <is>
          <t>Free+</t>
        </is>
      </c>
      <c r="X106" s="29" t="inlineStr">
        <is>
          <t>0 / N/A</t>
        </is>
      </c>
      <c r="Y106" s="29" t="inlineStr"/>
    </row>
    <row r="107">
      <c r="A107" s="27" t="inlineStr">
        <is>
          <t>FEAT-105</t>
        </is>
      </c>
      <c r="B107" s="27" t="inlineStr">
        <is>
          <t>Electron Desktop Overlay</t>
        </is>
      </c>
      <c r="C107" s="27" t="inlineStr">
        <is>
          <t>Auto-update</t>
        </is>
      </c>
      <c r="D107" s="27" t="inlineStr">
        <is>
          <t>electron-updater</t>
        </is>
      </c>
      <c r="E107" s="27" t="inlineStr">
        <is>
          <t>Yes</t>
        </is>
      </c>
      <c r="F107" s="27" t="inlineStr">
        <is>
          <t>N/A</t>
        </is>
      </c>
      <c r="G107" s="27" t="inlineStr">
        <is>
          <t>N/A</t>
        </is>
      </c>
      <c r="H107" s="27" t="inlineStr">
        <is>
          <t>N/A</t>
        </is>
      </c>
      <c r="I107" s="27" t="inlineStr">
        <is>
          <t>N/A</t>
        </is>
      </c>
      <c r="J107" s="27" t="inlineStr">
        <is>
          <t>In Progress</t>
        </is>
      </c>
      <c r="K107" s="27" t="inlineStr">
        <is>
          <t>Partial</t>
        </is>
      </c>
      <c r="L107" s="27" t="inlineStr">
        <is>
          <t>Blocked</t>
        </is>
      </c>
      <c r="M107" s="27" t="inlineStr">
        <is>
          <t>High</t>
        </is>
      </c>
      <c r="N107" s="27" t="inlineStr">
        <is>
          <t>High</t>
        </is>
      </c>
      <c r="O107" s="27" t="inlineStr">
        <is>
          <t>Desktop</t>
        </is>
      </c>
      <c r="P107" s="27" t="inlineStr">
        <is>
          <t>Shreya Patil</t>
        </is>
      </c>
      <c r="Q107" s="27" t="n">
        <v>3</v>
      </c>
      <c r="R107" s="27" t="n">
        <v>1</v>
      </c>
      <c r="S107" s="27" t="inlineStr">
        <is>
          <t>Unsigned</t>
        </is>
      </c>
      <c r="T107" s="27" t="inlineStr">
        <is>
          <t>(Electron app)</t>
        </is>
      </c>
      <c r="U107" s="27">
        <f>IFERROR(Environments!$B$3&amp;T107,T107)</f>
        <v/>
      </c>
      <c r="V107" s="27" t="inlineStr">
        <is>
          <t>Open (Electron app). Exercise 'Auto-update' (electron-updater). Confirm happy path for intended role; note plan gates and credit toasts.</t>
        </is>
      </c>
      <c r="W107" s="27" t="inlineStr">
        <is>
          <t>Free+</t>
        </is>
      </c>
      <c r="X107" s="27" t="inlineStr">
        <is>
          <t>0 / N/A</t>
        </is>
      </c>
      <c r="Y107" s="27" t="inlineStr">
        <is>
          <t>BUG-OPEN-18, BUG-OPEN-19</t>
        </is>
      </c>
    </row>
    <row r="108">
      <c r="A108" s="29" t="inlineStr">
        <is>
          <t>FEAT-106</t>
        </is>
      </c>
      <c r="B108" s="29" t="inlineStr">
        <is>
          <t>Electron Desktop Overlay</t>
        </is>
      </c>
      <c r="C108" s="29" t="inlineStr">
        <is>
          <t>Code signing Windows</t>
        </is>
      </c>
      <c r="D108" s="29" t="inlineStr">
        <is>
          <t>EV/OV cert</t>
        </is>
      </c>
      <c r="E108" s="29" t="inlineStr">
        <is>
          <t>N/A</t>
        </is>
      </c>
      <c r="F108" s="29" t="inlineStr">
        <is>
          <t>N/A</t>
        </is>
      </c>
      <c r="G108" s="29" t="inlineStr">
        <is>
          <t>N/A</t>
        </is>
      </c>
      <c r="H108" s="29" t="inlineStr">
        <is>
          <t>N/A</t>
        </is>
      </c>
      <c r="I108" s="29" t="inlineStr">
        <is>
          <t>N/A</t>
        </is>
      </c>
      <c r="J108" s="29" t="inlineStr">
        <is>
          <t>Not Started</t>
        </is>
      </c>
      <c r="K108" s="29" t="inlineStr">
        <is>
          <t>Not Built</t>
        </is>
      </c>
      <c r="L108" s="29" t="inlineStr">
        <is>
          <t>Not Tested</t>
        </is>
      </c>
      <c r="M108" s="29" t="inlineStr">
        <is>
          <t>High</t>
        </is>
      </c>
      <c r="N108" s="29" t="inlineStr">
        <is>
          <t>High</t>
        </is>
      </c>
      <c r="O108" s="29" t="inlineStr">
        <is>
          <t>Desktop</t>
        </is>
      </c>
      <c r="P108" s="29" t="inlineStr">
        <is>
          <t>Shreya Patil</t>
        </is>
      </c>
      <c r="Q108" s="29" t="n">
        <v>8</v>
      </c>
      <c r="R108" s="29" t="n">
        <v>0</v>
      </c>
      <c r="S108" s="29" t="inlineStr">
        <is>
          <t>P4-6 deferred</t>
        </is>
      </c>
      <c r="T108" s="29" t="inlineStr">
        <is>
          <t>(Electron app)</t>
        </is>
      </c>
      <c r="U108" s="29">
        <f>IFERROR(Environments!$B$3&amp;T108,T108)</f>
        <v/>
      </c>
      <c r="V108" s="29" t="inlineStr">
        <is>
          <t>Open (Electron app). Exercise 'Code signing Windows' (EV/OV cert). Confirm happy path for intended role; note plan gates and credit toasts.</t>
        </is>
      </c>
      <c r="W108" s="29" t="inlineStr">
        <is>
          <t>Free+</t>
        </is>
      </c>
      <c r="X108" s="29" t="inlineStr">
        <is>
          <t>0 / N/A</t>
        </is>
      </c>
      <c r="Y108" s="29" t="inlineStr"/>
    </row>
    <row r="109">
      <c r="A109" s="27" t="inlineStr">
        <is>
          <t>FEAT-107</t>
        </is>
      </c>
      <c r="B109" s="27" t="inlineStr">
        <is>
          <t>Security &amp; Platform</t>
        </is>
      </c>
      <c r="C109" s="27" t="inlineStr">
        <is>
          <t>RLS + edge shared libs</t>
        </is>
      </c>
      <c r="D109" s="27" t="inlineStr">
        <is>
          <t>Platform security</t>
        </is>
      </c>
      <c r="E109" s="27" t="inlineStr">
        <is>
          <t>N/A</t>
        </is>
      </c>
      <c r="F109" s="27" t="inlineStr">
        <is>
          <t>Yes</t>
        </is>
      </c>
      <c r="G109" s="27" t="inlineStr">
        <is>
          <t>Yes</t>
        </is>
      </c>
      <c r="H109" s="27" t="inlineStr">
        <is>
          <t>Yes</t>
        </is>
      </c>
      <c r="I109" s="27" t="inlineStr">
        <is>
          <t>Yes</t>
        </is>
      </c>
      <c r="J109" s="27" t="inlineStr">
        <is>
          <t>In Progress</t>
        </is>
      </c>
      <c r="K109" s="27" t="inlineStr">
        <is>
          <t>Partial</t>
        </is>
      </c>
      <c r="L109" s="27" t="inlineStr">
        <is>
          <t>In Testing</t>
        </is>
      </c>
      <c r="M109" s="27" t="inlineStr">
        <is>
          <t>Critical</t>
        </is>
      </c>
      <c r="N109" s="27" t="inlineStr">
        <is>
          <t>Critical</t>
        </is>
      </c>
      <c r="O109" s="27" t="inlineStr">
        <is>
          <t>Platform</t>
        </is>
      </c>
      <c r="P109" s="27" t="inlineStr">
        <is>
          <t>Shreya Patil</t>
        </is>
      </c>
      <c r="Q109" s="27" t="n">
        <v>8</v>
      </c>
      <c r="R109" s="27" t="n">
        <v>4</v>
      </c>
      <c r="S109" s="27" t="inlineStr">
        <is>
          <t>Baseline recovery partial</t>
        </is>
      </c>
      <c r="T109" s="27" t="inlineStr">
        <is>
          <t>N/A</t>
        </is>
      </c>
      <c r="U109" s="27">
        <f>IFERROR(Environments!$B$3&amp;T109,T109)</f>
        <v/>
      </c>
      <c r="V109" s="27" t="inlineStr">
        <is>
          <t>Open N/A. Exercise 'RLS + edge shared libs' (Platform security). Confirm happy path for intended role; note plan gates and credit toasts.</t>
        </is>
      </c>
      <c r="W109" s="27" t="inlineStr">
        <is>
          <t>Free+</t>
        </is>
      </c>
      <c r="X109" s="27" t="inlineStr">
        <is>
          <t>0 / N/A</t>
        </is>
      </c>
      <c r="Y109" s="27" t="inlineStr"/>
    </row>
    <row r="110">
      <c r="A110" s="29" t="inlineStr">
        <is>
          <t>FEAT-108</t>
        </is>
      </c>
      <c r="B110" s="29" t="inlineStr">
        <is>
          <t>Security &amp; Platform</t>
        </is>
      </c>
      <c r="C110" s="29" t="inlineStr">
        <is>
          <t>Distributed rate limits</t>
        </is>
      </c>
      <c r="D110" s="29" t="inlineStr">
        <is>
          <t>check_rate_limit</t>
        </is>
      </c>
      <c r="E110" s="29" t="inlineStr">
        <is>
          <t>N/A</t>
        </is>
      </c>
      <c r="F110" s="29" t="inlineStr">
        <is>
          <t>Yes</t>
        </is>
      </c>
      <c r="G110" s="29" t="inlineStr">
        <is>
          <t>Yes</t>
        </is>
      </c>
      <c r="H110" s="29" t="inlineStr">
        <is>
          <t>Yes</t>
        </is>
      </c>
      <c r="I110" s="29" t="inlineStr">
        <is>
          <t>Yes</t>
        </is>
      </c>
      <c r="J110" s="29" t="inlineStr">
        <is>
          <t>Completed</t>
        </is>
      </c>
      <c r="K110" s="29" t="inlineStr">
        <is>
          <t>Fully Implemented</t>
        </is>
      </c>
      <c r="L110" s="29" t="inlineStr">
        <is>
          <t>In Testing</t>
        </is>
      </c>
      <c r="M110" s="29" t="inlineStr">
        <is>
          <t>Critical</t>
        </is>
      </c>
      <c r="N110" s="29" t="inlineStr">
        <is>
          <t>High</t>
        </is>
      </c>
      <c r="O110" s="29" t="inlineStr">
        <is>
          <t>Platform</t>
        </is>
      </c>
      <c r="P110" s="29" t="inlineStr">
        <is>
          <t>Shreya Patil</t>
        </is>
      </c>
      <c r="Q110" s="29" t="n">
        <v>4</v>
      </c>
      <c r="R110" s="29" t="n">
        <v>2</v>
      </c>
      <c r="S110" s="29" t="inlineStr">
        <is>
          <t>P4-1</t>
        </is>
      </c>
      <c r="T110" s="29" t="inlineStr">
        <is>
          <t>N/A</t>
        </is>
      </c>
      <c r="U110" s="29">
        <f>IFERROR(Environments!$B$3&amp;T110,T110)</f>
        <v/>
      </c>
      <c r="V110" s="29" t="inlineStr">
        <is>
          <t>Open N/A. Exercise 'Distributed rate limits' (check_rate_limit). Confirm happy path for intended role; note plan gates and credit toasts.</t>
        </is>
      </c>
      <c r="W110" s="29" t="inlineStr">
        <is>
          <t>Free+</t>
        </is>
      </c>
      <c r="X110" s="29" t="inlineStr">
        <is>
          <t>0 / N/A</t>
        </is>
      </c>
      <c r="Y110" s="29" t="inlineStr"/>
    </row>
    <row r="111">
      <c r="A111" s="27" t="inlineStr">
        <is>
          <t>FEAT-109</t>
        </is>
      </c>
      <c r="B111" s="27" t="inlineStr">
        <is>
          <t>Security &amp; Platform</t>
        </is>
      </c>
      <c r="C111" s="27" t="inlineStr">
        <is>
          <t>Edge Sentry reporting</t>
        </is>
      </c>
      <c r="D111" s="27" t="inlineStr">
        <is>
          <t>reportEdgeError</t>
        </is>
      </c>
      <c r="E111" s="27" t="inlineStr">
        <is>
          <t>N/A</t>
        </is>
      </c>
      <c r="F111" s="27" t="inlineStr">
        <is>
          <t>Yes</t>
        </is>
      </c>
      <c r="G111" s="27" t="inlineStr">
        <is>
          <t>N/A</t>
        </is>
      </c>
      <c r="H111" s="27" t="inlineStr">
        <is>
          <t>N/A</t>
        </is>
      </c>
      <c r="I111" s="27" t="inlineStr">
        <is>
          <t>Yes</t>
        </is>
      </c>
      <c r="J111" s="27" t="inlineStr">
        <is>
          <t>Completed</t>
        </is>
      </c>
      <c r="K111" s="27" t="inlineStr">
        <is>
          <t>Fully Implemented</t>
        </is>
      </c>
      <c r="L111" s="27" t="inlineStr">
        <is>
          <t>In Testing</t>
        </is>
      </c>
      <c r="M111" s="27" t="inlineStr">
        <is>
          <t>High</t>
        </is>
      </c>
      <c r="N111" s="27" t="inlineStr">
        <is>
          <t>Medium</t>
        </is>
      </c>
      <c r="O111" s="27" t="inlineStr">
        <is>
          <t>Platform</t>
        </is>
      </c>
      <c r="P111" s="27" t="inlineStr">
        <is>
          <t>Shreya Patil</t>
        </is>
      </c>
      <c r="Q111" s="27" t="n">
        <v>2</v>
      </c>
      <c r="R111" s="27" t="n">
        <v>1</v>
      </c>
      <c r="S111" s="27" t="inlineStr">
        <is>
          <t>Optional DSN</t>
        </is>
      </c>
      <c r="T111" s="27" t="inlineStr">
        <is>
          <t>N/A</t>
        </is>
      </c>
      <c r="U111" s="27">
        <f>IFERROR(Environments!$B$3&amp;T111,T111)</f>
        <v/>
      </c>
      <c r="V111" s="27" t="inlineStr">
        <is>
          <t>Open N/A. Exercise 'Edge Sentry reporting' (reportEdgeError). Confirm happy path for intended role; note plan gates and credit toasts.</t>
        </is>
      </c>
      <c r="W111" s="27" t="inlineStr">
        <is>
          <t>Free+</t>
        </is>
      </c>
      <c r="X111" s="27" t="inlineStr">
        <is>
          <t>0 / N/A</t>
        </is>
      </c>
      <c r="Y111" s="27" t="inlineStr"/>
    </row>
    <row r="112">
      <c r="A112" s="29" t="inlineStr">
        <is>
          <t>FEAT-110</t>
        </is>
      </c>
      <c r="B112" s="29" t="inlineStr">
        <is>
          <t>Security &amp; Platform</t>
        </is>
      </c>
      <c r="C112" s="29" t="inlineStr">
        <is>
          <t>Session force sign-out</t>
        </is>
      </c>
      <c r="D112" s="29" t="inlineStr">
        <is>
          <t>Timeout at T=0</t>
        </is>
      </c>
      <c r="E112" s="29" t="inlineStr">
        <is>
          <t>Yes</t>
        </is>
      </c>
      <c r="F112" s="29" t="inlineStr">
        <is>
          <t>Yes</t>
        </is>
      </c>
      <c r="G112" s="29" t="inlineStr">
        <is>
          <t>N/A</t>
        </is>
      </c>
      <c r="H112" s="29" t="inlineStr">
        <is>
          <t>N/A</t>
        </is>
      </c>
      <c r="I112" s="29" t="inlineStr">
        <is>
          <t>N/A</t>
        </is>
      </c>
      <c r="J112" s="29" t="inlineStr">
        <is>
          <t>Completed</t>
        </is>
      </c>
      <c r="K112" s="29" t="inlineStr">
        <is>
          <t>Fully Implemented</t>
        </is>
      </c>
      <c r="L112" s="29" t="inlineStr">
        <is>
          <t>Passed</t>
        </is>
      </c>
      <c r="M112" s="29" t="inlineStr">
        <is>
          <t>High</t>
        </is>
      </c>
      <c r="N112" s="29" t="inlineStr">
        <is>
          <t>Medium</t>
        </is>
      </c>
      <c r="O112" s="29" t="inlineStr">
        <is>
          <t>Platform</t>
        </is>
      </c>
      <c r="P112" s="29" t="inlineStr">
        <is>
          <t>Raj Balani</t>
        </is>
      </c>
      <c r="Q112" s="29" t="n">
        <v>1.5</v>
      </c>
      <c r="R112" s="29" t="n">
        <v>1</v>
      </c>
      <c r="S112" s="29" t="inlineStr">
        <is>
          <t>P4-7</t>
        </is>
      </c>
      <c r="T112" s="29" t="inlineStr">
        <is>
          <t>N/A</t>
        </is>
      </c>
      <c r="U112" s="29">
        <f>IFERROR(Environments!$B$3&amp;T112,T112)</f>
        <v/>
      </c>
      <c r="V112" s="29" t="inlineStr">
        <is>
          <t>Open N/A. Exercise 'Session force sign-out' (Timeout at T=0). Confirm happy path for intended role; note plan gates and credit toasts.</t>
        </is>
      </c>
      <c r="W112" s="29" t="inlineStr">
        <is>
          <t>Free+</t>
        </is>
      </c>
      <c r="X112" s="29" t="inlineStr">
        <is>
          <t>0 / N/A</t>
        </is>
      </c>
      <c r="Y112" s="29" t="inlineStr"/>
    </row>
    <row r="113">
      <c r="A113" s="27" t="inlineStr">
        <is>
          <t>FEAT-111</t>
        </is>
      </c>
      <c r="B113" s="27" t="inlineStr">
        <is>
          <t>Security &amp; Platform</t>
        </is>
      </c>
      <c r="C113" s="27" t="inlineStr">
        <is>
          <t>CI validate-env</t>
        </is>
      </c>
      <c r="D113" s="27" t="inlineStr">
        <is>
          <t>CI placeholders</t>
        </is>
      </c>
      <c r="E113" s="27" t="inlineStr">
        <is>
          <t>N/A</t>
        </is>
      </c>
      <c r="F113" s="27" t="inlineStr">
        <is>
          <t>N/A</t>
        </is>
      </c>
      <c r="G113" s="27" t="inlineStr">
        <is>
          <t>N/A</t>
        </is>
      </c>
      <c r="H113" s="27" t="inlineStr">
        <is>
          <t>N/A</t>
        </is>
      </c>
      <c r="I113" s="27" t="inlineStr">
        <is>
          <t>N/A</t>
        </is>
      </c>
      <c r="J113" s="27" t="inlineStr">
        <is>
          <t>Completed</t>
        </is>
      </c>
      <c r="K113" s="27" t="inlineStr">
        <is>
          <t>Fully Implemented</t>
        </is>
      </c>
      <c r="L113" s="27" t="inlineStr">
        <is>
          <t>Passed</t>
        </is>
      </c>
      <c r="M113" s="27" t="inlineStr">
        <is>
          <t>High</t>
        </is>
      </c>
      <c r="N113" s="27" t="inlineStr">
        <is>
          <t>Medium</t>
        </is>
      </c>
      <c r="O113" s="27" t="inlineStr">
        <is>
          <t>Platform</t>
        </is>
      </c>
      <c r="P113" s="27" t="inlineStr">
        <is>
          <t>Shreya Patil</t>
        </is>
      </c>
      <c r="Q113" s="27" t="n">
        <v>1</v>
      </c>
      <c r="R113" s="27" t="n">
        <v>0.5</v>
      </c>
      <c r="S113" s="27" t="inlineStr">
        <is>
          <t>P1-8</t>
        </is>
      </c>
      <c r="T113" s="27" t="inlineStr">
        <is>
          <t>N/A</t>
        </is>
      </c>
      <c r="U113" s="27">
        <f>IFERROR(Environments!$B$3&amp;T113,T113)</f>
        <v/>
      </c>
      <c r="V113" s="27" t="inlineStr">
        <is>
          <t>Open N/A. Exercise 'CI validate-env' (CI placeholders). Confirm happy path for intended role; note plan gates and credit toasts.</t>
        </is>
      </c>
      <c r="W113" s="27" t="inlineStr">
        <is>
          <t>Free+</t>
        </is>
      </c>
      <c r="X113" s="27" t="inlineStr">
        <is>
          <t>0 / N/A</t>
        </is>
      </c>
      <c r="Y113" s="27" t="inlineStr"/>
    </row>
    <row r="114">
      <c r="A114" s="29" t="inlineStr">
        <is>
          <t>FEAT-112</t>
        </is>
      </c>
      <c r="B114" s="29" t="inlineStr">
        <is>
          <t>Security &amp; Platform</t>
        </is>
      </c>
      <c r="C114" s="29" t="inlineStr">
        <is>
          <t>Unit/E2E coverage</t>
        </is>
      </c>
      <c r="D114" s="29" t="inlineStr">
        <is>
          <t>Vitest + Playwright</t>
        </is>
      </c>
      <c r="E114" s="29" t="inlineStr">
        <is>
          <t>Yes</t>
        </is>
      </c>
      <c r="F114" s="29" t="inlineStr">
        <is>
          <t>Yes</t>
        </is>
      </c>
      <c r="G114" s="29" t="inlineStr">
        <is>
          <t>N/A</t>
        </is>
      </c>
      <c r="H114" s="29" t="inlineStr">
        <is>
          <t>N/A</t>
        </is>
      </c>
      <c r="I114" s="29" t="inlineStr">
        <is>
          <t>N/A</t>
        </is>
      </c>
      <c r="J114" s="29" t="inlineStr">
        <is>
          <t>In Progress</t>
        </is>
      </c>
      <c r="K114" s="29" t="inlineStr">
        <is>
          <t>Partial</t>
        </is>
      </c>
      <c r="L114" s="29" t="inlineStr">
        <is>
          <t>Failed</t>
        </is>
      </c>
      <c r="M114" s="29" t="inlineStr">
        <is>
          <t>High</t>
        </is>
      </c>
      <c r="N114" s="29" t="inlineStr">
        <is>
          <t>High</t>
        </is>
      </c>
      <c r="O114" s="29" t="inlineStr">
        <is>
          <t>Platform</t>
        </is>
      </c>
      <c r="P114" s="29" t="inlineStr">
        <is>
          <t>Shreya Patil</t>
        </is>
      </c>
      <c r="Q114" s="29" t="n">
        <v>40</v>
      </c>
      <c r="R114" s="29" t="n">
        <v>8</v>
      </c>
      <c r="S114" s="29" t="inlineStr">
        <is>
          <t>Low coverage; 794 todos</t>
        </is>
      </c>
      <c r="T114" s="29" t="inlineStr">
        <is>
          <t>N/A</t>
        </is>
      </c>
      <c r="U114" s="29">
        <f>IFERROR(Environments!$B$3&amp;T114,T114)</f>
        <v/>
      </c>
      <c r="V114" s="29" t="inlineStr">
        <is>
          <t>Open N/A. Exercise 'Unit/E2E coverage' (Vitest + Playwright). Confirm happy path for intended role; note plan gates and credit toasts.</t>
        </is>
      </c>
      <c r="W114" s="29" t="inlineStr">
        <is>
          <t>Free+</t>
        </is>
      </c>
      <c r="X114" s="29" t="inlineStr">
        <is>
          <t>0 / N/A</t>
        </is>
      </c>
      <c r="Y114" s="29" t="inlineStr"/>
    </row>
    <row r="115">
      <c r="A115" s="27" t="inlineStr">
        <is>
          <t>FEAT-113</t>
        </is>
      </c>
      <c r="B115" s="27" t="inlineStr">
        <is>
          <t>Security &amp; Platform</t>
        </is>
      </c>
      <c r="C115" s="27" t="inlineStr">
        <is>
          <t>Observability Sentry/PostHog</t>
        </is>
      </c>
      <c r="D115" s="27" t="inlineStr">
        <is>
          <t>Web client only</t>
        </is>
      </c>
      <c r="E115" s="27" t="inlineStr">
        <is>
          <t>Yes</t>
        </is>
      </c>
      <c r="F115" s="27" t="inlineStr">
        <is>
          <t>Partial</t>
        </is>
      </c>
      <c r="G115" s="27" t="inlineStr">
        <is>
          <t>N/A</t>
        </is>
      </c>
      <c r="H115" s="27" t="inlineStr">
        <is>
          <t>N/A</t>
        </is>
      </c>
      <c r="I115" s="27" t="inlineStr">
        <is>
          <t>Partial</t>
        </is>
      </c>
      <c r="J115" s="27" t="inlineStr">
        <is>
          <t>In Progress</t>
        </is>
      </c>
      <c r="K115" s="27" t="inlineStr">
        <is>
          <t>Partial</t>
        </is>
      </c>
      <c r="L115" s="27" t="inlineStr">
        <is>
          <t>In Testing</t>
        </is>
      </c>
      <c r="M115" s="27" t="inlineStr">
        <is>
          <t>High</t>
        </is>
      </c>
      <c r="N115" s="27" t="inlineStr">
        <is>
          <t>Medium</t>
        </is>
      </c>
      <c r="O115" s="27" t="inlineStr">
        <is>
          <t>Platform</t>
        </is>
      </c>
      <c r="P115" s="27" t="inlineStr">
        <is>
          <t>Shreya Patil</t>
        </is>
      </c>
      <c r="Q115" s="27" t="n">
        <v>3</v>
      </c>
      <c r="R115" s="27" t="n">
        <v>1.5</v>
      </c>
      <c r="S115" s="27" t="inlineStr"/>
      <c r="T115" s="27" t="inlineStr">
        <is>
          <t>N/A</t>
        </is>
      </c>
      <c r="U115" s="27">
        <f>IFERROR(Environments!$B$3&amp;T115,T115)</f>
        <v/>
      </c>
      <c r="V115" s="27" t="inlineStr">
        <is>
          <t>Open N/A. Exercise 'Observability Sentry/PostHog' (Web client only). Confirm happy path for intended role; note plan gates and credit toasts.</t>
        </is>
      </c>
      <c r="W115" s="27" t="inlineStr">
        <is>
          <t>Free+</t>
        </is>
      </c>
      <c r="X115" s="27" t="inlineStr">
        <is>
          <t>0 / N/A</t>
        </is>
      </c>
      <c r="Y115" s="27" t="inlineStr"/>
    </row>
    <row r="116">
      <c r="A116" s="29" t="inlineStr">
        <is>
          <t>FEAT-114</t>
        </is>
      </c>
      <c r="B116" s="29" t="inlineStr">
        <is>
          <t>Security &amp; Platform</t>
        </is>
      </c>
      <c r="C116" s="29" t="inlineStr">
        <is>
          <t>Group practice WebRTC</t>
        </is>
      </c>
      <c r="D116" s="29" t="inlineStr">
        <is>
          <t>Rooms</t>
        </is>
      </c>
      <c r="E116" s="29" t="inlineStr">
        <is>
          <t>No</t>
        </is>
      </c>
      <c r="F116" s="29" t="inlineStr">
        <is>
          <t>No</t>
        </is>
      </c>
      <c r="G116" s="29" t="inlineStr">
        <is>
          <t>Partial</t>
        </is>
      </c>
      <c r="H116" s="29" t="inlineStr">
        <is>
          <t>No</t>
        </is>
      </c>
      <c r="I116" s="29" t="inlineStr">
        <is>
          <t>No</t>
        </is>
      </c>
      <c r="J116" s="29" t="inlineStr">
        <is>
          <t>Not Started</t>
        </is>
      </c>
      <c r="K116" s="29" t="inlineStr">
        <is>
          <t>Not Built</t>
        </is>
      </c>
      <c r="L116" s="29" t="inlineStr">
        <is>
          <t>Not Tested</t>
        </is>
      </c>
      <c r="M116" s="29" t="inlineStr">
        <is>
          <t>Low</t>
        </is>
      </c>
      <c r="N116" s="29" t="inlineStr">
        <is>
          <t>Low</t>
        </is>
      </c>
      <c r="O116" s="29" t="inlineStr">
        <is>
          <t>Platform</t>
        </is>
      </c>
      <c r="P116" s="29" t="inlineStr">
        <is>
          <t>Shreya Patil</t>
        </is>
      </c>
      <c r="Q116" s="29" t="n">
        <v>20</v>
      </c>
      <c r="R116" s="29" t="n">
        <v>0</v>
      </c>
      <c r="S116" s="29" t="inlineStr">
        <is>
          <t>Descope</t>
        </is>
      </c>
      <c r="T116" s="29" t="inlineStr">
        <is>
          <t>N/A</t>
        </is>
      </c>
      <c r="U116" s="29">
        <f>IFERROR(Environments!$B$3&amp;T116,T116)</f>
        <v/>
      </c>
      <c r="V116" s="29" t="inlineStr">
        <is>
          <t>Open N/A. Exercise 'Group practice WebRTC' (Rooms). Confirm happy path for intended role; note plan gates and credit toasts.</t>
        </is>
      </c>
      <c r="W116" s="29" t="inlineStr">
        <is>
          <t>Free+</t>
        </is>
      </c>
      <c r="X116" s="29" t="inlineStr">
        <is>
          <t>0 / N/A</t>
        </is>
      </c>
      <c r="Y116" s="29" t="inlineStr"/>
    </row>
    <row r="117">
      <c r="A117" s="36" t="inlineStr">
        <is>
          <t>TOTAL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36">
        <f>SUM(Q3:Q116)</f>
        <v/>
      </c>
      <c r="R117" s="36">
        <f>SUM(R3:R116)</f>
        <v/>
      </c>
      <c r="S117" s="27" t="n"/>
      <c r="T117" s="27" t="n"/>
      <c r="U117" s="27" t="n"/>
      <c r="V117" s="27" t="n"/>
      <c r="W117" s="27" t="n"/>
      <c r="X117" s="27" t="n"/>
      <c r="Y117" s="27" t="n"/>
    </row>
  </sheetData>
  <autoFilter ref="A2:Y117"/>
  <mergeCells count="1">
    <mergeCell ref="A1:H1"/>
  </mergeCells>
  <conditionalFormatting sqref="J3:J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L3:L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M3:M500">
    <cfRule type="cellIs" priority="35" operator="equal" dxfId="0">
      <formula>"Critical"</formula>
    </cfRule>
    <cfRule type="cellIs" priority="36" operator="equal" dxfId="1">
      <formula>"High"</formula>
    </cfRule>
    <cfRule type="cellIs" priority="37" operator="equal" dxfId="2">
      <formula>"Medium"</formula>
    </cfRule>
    <cfRule type="cellIs" priority="38" operator="equal" dxfId="3">
      <formula>"Low"</formula>
    </cfRule>
  </conditionalFormatting>
  <conditionalFormatting sqref="N3:N500">
    <cfRule type="cellIs" priority="39" operator="equal" dxfId="0">
      <formula>"Critical"</formula>
    </cfRule>
    <cfRule type="cellIs" priority="40" operator="equal" dxfId="1">
      <formula>"High"</formula>
    </cfRule>
    <cfRule type="cellIs" priority="41" operator="equal" dxfId="2">
      <formula>"Medium"</formula>
    </cfRule>
    <cfRule type="cellIs" priority="42" operator="equal" dxfId="3">
      <formula>"Low"</formula>
    </cfRule>
  </conditionalFormatting>
  <dataValidations count="13">
    <dataValidation sqref="B3:B5000" showDropDown="0" showInputMessage="0" showErrorMessage="0" allowBlank="1" errorTitle="Invalid" error="Pick a value from the list" type="list">
      <formula1>Lists!$Z$2:$Z$23</formula1>
    </dataValidation>
    <dataValidation sqref="E3:E5000" showDropDown="0" showInputMessage="0" showErrorMessage="0" allowBlank="1" errorTitle="Invalid" error="Pick a value from the list" type="list">
      <formula1>Lists!$AF$2:$AF$5</formula1>
    </dataValidation>
    <dataValidation sqref="F3:F5000" showDropDown="0" showInputMessage="0" showErrorMessage="0" allowBlank="1" errorTitle="Invalid" error="Pick a value from the list" type="list">
      <formula1>Lists!$AF$2:$AF$5</formula1>
    </dataValidation>
    <dataValidation sqref="G3:G5000" showDropDown="0" showInputMessage="0" showErrorMessage="0" allowBlank="1" errorTitle="Invalid" error="Pick a value from the list" type="list">
      <formula1>Lists!$AF$2:$AF$5</formula1>
    </dataValidation>
    <dataValidation sqref="H3:H5000" showDropDown="0" showInputMessage="0" showErrorMessage="0" allowBlank="1" errorTitle="Invalid" error="Pick a value from the list" type="list">
      <formula1>Lists!$AF$2:$AF$5</formula1>
    </dataValidation>
    <dataValidation sqref="I3:I5000" showDropDown="0" showInputMessage="0" showErrorMessage="0" allowBlank="1" errorTitle="Invalid" error="Pick a value from the list" type="list">
      <formula1>Lists!$AF$2:$AF$5</formula1>
    </dataValidation>
    <dataValidation sqref="J3:J5000" showDropDown="0" showInputMessage="0" showErrorMessage="0" allowBlank="1" errorTitle="Invalid" error="Pick a value from the list" type="list">
      <formula1>Lists!$A$2:$A$9</formula1>
    </dataValidation>
    <dataValidation sqref="K3:K5000" showDropDown="0" showInputMessage="0" showErrorMessage="0" allowBlank="1" errorTitle="Invalid" error="Pick a value from the list" type="list">
      <formula1>Lists!$AE$2:$AE$6</formula1>
    </dataValidation>
    <dataValidation sqref="L3:L5000" showDropDown="0" showInputMessage="0" showErrorMessage="0" allowBlank="1" errorTitle="Invalid" error="Pick a value from the list" type="list">
      <formula1>Lists!$J$2:$J$7</formula1>
    </dataValidation>
    <dataValidation sqref="M3:M5000" showDropDown="0" showInputMessage="0" showErrorMessage="0" allowBlank="1" errorTitle="Invalid" error="Pick a value from the list" type="list">
      <formula1>Lists!$C$2:$C$5</formula1>
    </dataValidation>
    <dataValidation sqref="N3:N5000" showDropDown="0" showInputMessage="0" showErrorMessage="0" allowBlank="1" errorTitle="Invalid" error="Pick a value from the list" type="list">
      <formula1>Lists!$L$2:$L$5</formula1>
    </dataValidation>
    <dataValidation sqref="O3:O5000" showDropDown="0" showInputMessage="0" showErrorMessage="0" allowBlank="1" errorTitle="Invalid" error="Pick a value from the list" type="list">
      <formula1>Lists!$AD$2:$AD$17</formula1>
    </dataValidation>
    <dataValidation sqref="P3:P5000" showDropDown="0" showInputMessage="0" showErrorMessage="0" allowBlank="1" errorTitle="Invalid" error="Pick a value from the list" type="list">
      <formula1>Lists!$AC$2:$AC$3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M1" r:id="rId3"/>
    <hyperlink xmlns:r="http://schemas.openxmlformats.org/officeDocument/2006/relationships" ref="N1" r:id="rId4"/>
    <hyperlink xmlns:r="http://schemas.openxmlformats.org/officeDocument/2006/relationships" ref="O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6" customWidth="1" min="2" max="2"/>
    <col width="21" customWidth="1" min="3" max="3"/>
    <col width="12" customWidth="1" min="4" max="4"/>
    <col width="23" customWidth="1" min="5" max="5"/>
    <col width="28" customWidth="1" min="6" max="6"/>
    <col width="12" customWidth="1" min="7" max="7"/>
    <col width="12" customWidth="1" min="8" max="8"/>
    <col width="12" customWidth="1" min="9" max="9"/>
    <col width="22" customWidth="1" min="10" max="10"/>
    <col width="36" customWidth="1" min="11" max="11"/>
    <col width="28" customWidth="1" min="12" max="12"/>
    <col width="36" customWidth="1" min="13" max="13"/>
    <col width="32" customWidth="1" min="14" max="14"/>
    <col width="21" customWidth="1" min="15" max="15"/>
    <col width="13" customWidth="1" min="16" max="16"/>
    <col width="13" customWidth="1" min="17" max="17"/>
    <col width="12" customWidth="1" min="18" max="18"/>
    <col width="14" customWidth="1" min="19" max="19"/>
    <col width="14" customWidth="1" min="20" max="20"/>
    <col width="14" customWidth="1" min="21" max="21"/>
    <col width="16" customWidth="1" min="22" max="22"/>
    <col width="15" customWidth="1" min="23" max="23"/>
    <col width="13" customWidth="1" min="24" max="24"/>
    <col width="12" customWidth="1" min="25" max="25"/>
    <col width="15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9" customWidth="1" min="34" max="34"/>
  </cols>
  <sheetData>
    <row r="1">
      <c r="A1" s="1" t="inlineStr">
        <is>
          <t>Test Case Repository — Clarify AI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11" t="inlineStr">
        <is>
          <t>● Cases</t>
        </is>
      </c>
      <c r="T1" s="2" t="inlineStr">
        <is>
          <t>Sign-Off</t>
        </is>
      </c>
    </row>
    <row r="2">
      <c r="A2" s="26" t="inlineStr">
        <is>
          <t>Test Case ID</t>
        </is>
      </c>
      <c r="B2" s="26" t="inlineStr">
        <is>
          <t>Requirement ID</t>
        </is>
      </c>
      <c r="C2" s="26" t="inlineStr">
        <is>
          <t>Module</t>
        </is>
      </c>
      <c r="D2" s="26" t="inlineStr">
        <is>
          <t>Sub Module</t>
        </is>
      </c>
      <c r="E2" s="26" t="inlineStr">
        <is>
          <t>Feature</t>
        </is>
      </c>
      <c r="F2" s="26" t="inlineStr">
        <is>
          <t>Screen</t>
        </is>
      </c>
      <c r="G2" s="26" t="inlineStr">
        <is>
          <t>User Role</t>
        </is>
      </c>
      <c r="H2" s="26" t="inlineStr">
        <is>
          <t>Priority</t>
        </is>
      </c>
      <c r="I2" s="26" t="inlineStr">
        <is>
          <t>Severity</t>
        </is>
      </c>
      <c r="J2" s="26" t="inlineStr">
        <is>
          <t>Test Scenario</t>
        </is>
      </c>
      <c r="K2" s="26" t="inlineStr">
        <is>
          <t>Test Case</t>
        </is>
      </c>
      <c r="L2" s="26" t="inlineStr">
        <is>
          <t>Preconditions</t>
        </is>
      </c>
      <c r="M2" s="26" t="inlineStr">
        <is>
          <t>Test Steps</t>
        </is>
      </c>
      <c r="N2" s="26" t="inlineStr">
        <is>
          <t>Expected Result</t>
        </is>
      </c>
      <c r="O2" s="26" t="inlineStr">
        <is>
          <t>Actual Result</t>
        </is>
      </c>
      <c r="P2" s="26" t="inlineStr">
        <is>
          <t>Pass/Fail</t>
        </is>
      </c>
      <c r="Q2" s="26" t="inlineStr">
        <is>
          <t>Status</t>
        </is>
      </c>
      <c r="R2" s="26" t="inlineStr">
        <is>
          <t>Bug ID</t>
        </is>
      </c>
      <c r="S2" s="26" t="inlineStr">
        <is>
          <t>Tester</t>
        </is>
      </c>
      <c r="T2" s="26" t="inlineStr">
        <is>
          <t>Est Hours</t>
        </is>
      </c>
      <c r="U2" s="26" t="inlineStr">
        <is>
          <t>Actual Hours</t>
        </is>
      </c>
      <c r="V2" s="26" t="inlineStr">
        <is>
          <t>Execution Date</t>
        </is>
      </c>
      <c r="W2" s="26" t="inlineStr">
        <is>
          <t>Build Version</t>
        </is>
      </c>
      <c r="X2" s="26" t="inlineStr">
        <is>
          <t>Environment</t>
        </is>
      </c>
      <c r="Y2" s="26" t="inlineStr">
        <is>
          <t>Browser</t>
        </is>
      </c>
      <c r="Z2" s="26" t="inlineStr">
        <is>
          <t>Device</t>
        </is>
      </c>
      <c r="AA2" s="26" t="inlineStr">
        <is>
          <t>Platform</t>
        </is>
      </c>
      <c r="AB2" s="26" t="inlineStr">
        <is>
          <t>Automation</t>
        </is>
      </c>
      <c r="AC2" s="26" t="inlineStr">
        <is>
          <t>Regression</t>
        </is>
      </c>
      <c r="AD2" s="26" t="inlineStr">
        <is>
          <t>Smoke</t>
        </is>
      </c>
      <c r="AE2" s="26" t="inlineStr">
        <is>
          <t>Sanity</t>
        </is>
      </c>
      <c r="AF2" s="26" t="inlineStr">
        <is>
          <t>Sprint</t>
        </is>
      </c>
      <c r="AG2" s="26" t="inlineStr">
        <is>
          <t>Release</t>
        </is>
      </c>
      <c r="AH2" s="26" t="inlineStr">
        <is>
          <t>Remarks</t>
        </is>
      </c>
    </row>
    <row r="3">
      <c r="A3" s="27" t="inlineStr">
        <is>
          <t>TC-001</t>
        </is>
      </c>
      <c r="B3" s="27" t="inlineStr">
        <is>
          <t>REQ-AUTH-01</t>
        </is>
      </c>
      <c r="C3" s="27" t="inlineStr">
        <is>
          <t>Auth &amp; Onboarding</t>
        </is>
      </c>
      <c r="D3" s="27" t="inlineStr">
        <is>
          <t>Login</t>
        </is>
      </c>
      <c r="E3" s="27" t="inlineStr">
        <is>
          <t>Email login</t>
        </is>
      </c>
      <c r="F3" s="27" t="inlineStr">
        <is>
          <t>/login</t>
        </is>
      </c>
      <c r="G3" s="27" t="inlineStr">
        <is>
          <t>Free User</t>
        </is>
      </c>
      <c r="H3" s="27" t="inlineStr">
        <is>
          <t>Critical</t>
        </is>
      </c>
      <c r="I3" s="27" t="inlineStr">
        <is>
          <t>Critical</t>
        </is>
      </c>
      <c r="J3" s="27" t="inlineStr">
        <is>
          <t>Valid credentials</t>
        </is>
      </c>
      <c r="K3" s="27" t="inlineStr">
        <is>
          <t>User signs in with email/password</t>
        </is>
      </c>
      <c r="L3" s="27" t="inlineStr">
        <is>
          <t>Verified account</t>
        </is>
      </c>
      <c r="M3" s="27" t="inlineStr">
        <is>
          <t>1. Open /login
2. Enter credentials
3. Submit</t>
        </is>
      </c>
      <c r="N3" s="27" t="inlineStr">
        <is>
          <t>Redirect to /app or onboarding</t>
        </is>
      </c>
      <c r="O3" s="27" t="inlineStr">
        <is>
          <t>Landed on dashboard</t>
        </is>
      </c>
      <c r="P3" s="27" t="inlineStr">
        <is>
          <t>Pass</t>
        </is>
      </c>
      <c r="Q3" s="27" t="inlineStr">
        <is>
          <t>Completed</t>
        </is>
      </c>
      <c r="R3" s="27" t="inlineStr"/>
      <c r="S3" s="27" t="inlineStr">
        <is>
          <t>Raj Balani</t>
        </is>
      </c>
      <c r="T3" s="27" t="n">
        <v>1</v>
      </c>
      <c r="U3" s="27" t="n">
        <v>0.75</v>
      </c>
      <c r="V3" s="28" t="n">
        <v>46232</v>
      </c>
      <c r="W3" s="27" t="inlineStr">
        <is>
          <t>1.0.0</t>
        </is>
      </c>
      <c r="X3" s="27" t="inlineStr">
        <is>
          <t>Staging</t>
        </is>
      </c>
      <c r="Y3" s="27" t="inlineStr">
        <is>
          <t>Chrome</t>
        </is>
      </c>
      <c r="Z3" s="27" t="inlineStr">
        <is>
          <t>Desktop</t>
        </is>
      </c>
      <c r="AA3" s="27" t="inlineStr">
        <is>
          <t>Web</t>
        </is>
      </c>
      <c r="AB3" s="27" t="inlineStr">
        <is>
          <t>Manual</t>
        </is>
      </c>
      <c r="AC3" s="27" t="inlineStr">
        <is>
          <t>Yes</t>
        </is>
      </c>
      <c r="AD3" s="27" t="inlineStr">
        <is>
          <t>Yes</t>
        </is>
      </c>
      <c r="AE3" s="27" t="inlineStr">
        <is>
          <t>Yes</t>
        </is>
      </c>
      <c r="AF3" s="27" t="inlineStr">
        <is>
          <t>Sprint 26</t>
        </is>
      </c>
      <c r="AG3" s="27" t="inlineStr">
        <is>
          <t>1.0.0-beta</t>
        </is>
      </c>
      <c r="AH3" s="27" t="inlineStr"/>
    </row>
    <row r="4">
      <c r="A4" s="29" t="inlineStr">
        <is>
          <t>TC-002</t>
        </is>
      </c>
      <c r="B4" s="29" t="inlineStr">
        <is>
          <t>REQ-AUTH-02</t>
        </is>
      </c>
      <c r="C4" s="29" t="inlineStr">
        <is>
          <t>Auth &amp; Onboarding</t>
        </is>
      </c>
      <c r="D4" s="29" t="inlineStr">
        <is>
          <t>Login</t>
        </is>
      </c>
      <c r="E4" s="29" t="inlineStr">
        <is>
          <t>Lockout</t>
        </is>
      </c>
      <c r="F4" s="29" t="inlineStr">
        <is>
          <t>/login</t>
        </is>
      </c>
      <c r="G4" s="29" t="inlineStr">
        <is>
          <t>Free User</t>
        </is>
      </c>
      <c r="H4" s="29" t="inlineStr">
        <is>
          <t>High</t>
        </is>
      </c>
      <c r="I4" s="29" t="inlineStr">
        <is>
          <t>High</t>
        </is>
      </c>
      <c r="J4" s="29" t="inlineStr">
        <is>
          <t>Repeated failures</t>
        </is>
      </c>
      <c r="K4" s="29" t="inlineStr">
        <is>
          <t>Lockout after threshold</t>
        </is>
      </c>
      <c r="L4" s="29" t="inlineStr">
        <is>
          <t>Test account</t>
        </is>
      </c>
      <c r="M4" s="29" t="inlineStr">
        <is>
          <t>1. Fail login repeatedly
2. Observe message</t>
        </is>
      </c>
      <c r="N4" s="29" t="inlineStr">
        <is>
          <t>Temporary lockout shown</t>
        </is>
      </c>
      <c r="O4" s="29" t="inlineStr"/>
      <c r="P4" s="29" t="inlineStr">
        <is>
          <t>Not Run</t>
        </is>
      </c>
      <c r="Q4" s="29" t="inlineStr">
        <is>
          <t>Ready</t>
        </is>
      </c>
      <c r="R4" s="29" t="inlineStr"/>
      <c r="S4" s="29" t="inlineStr">
        <is>
          <t>Raj Balani</t>
        </is>
      </c>
      <c r="T4" s="29" t="n">
        <v>1.5</v>
      </c>
      <c r="U4" s="29" t="n">
        <v>0</v>
      </c>
      <c r="V4" s="29" t="inlineStr"/>
      <c r="W4" s="29" t="inlineStr">
        <is>
          <t>1.0.0</t>
        </is>
      </c>
      <c r="X4" s="29" t="inlineStr">
        <is>
          <t>Staging</t>
        </is>
      </c>
      <c r="Y4" s="29" t="inlineStr">
        <is>
          <t>Chrome</t>
        </is>
      </c>
      <c r="Z4" s="29" t="inlineStr">
        <is>
          <t>Desktop</t>
        </is>
      </c>
      <c r="AA4" s="29" t="inlineStr">
        <is>
          <t>Web</t>
        </is>
      </c>
      <c r="AB4" s="29" t="inlineStr">
        <is>
          <t>Manual</t>
        </is>
      </c>
      <c r="AC4" s="29" t="inlineStr">
        <is>
          <t>Yes</t>
        </is>
      </c>
      <c r="AD4" s="29" t="inlineStr">
        <is>
          <t>No</t>
        </is>
      </c>
      <c r="AE4" s="29" t="inlineStr">
        <is>
          <t>Yes</t>
        </is>
      </c>
      <c r="AF4" s="29" t="inlineStr">
        <is>
          <t>Sprint 26</t>
        </is>
      </c>
      <c r="AG4" s="29" t="inlineStr">
        <is>
          <t>1.0.0-beta</t>
        </is>
      </c>
      <c r="AH4" s="29" t="inlineStr"/>
    </row>
    <row r="5">
      <c r="A5" s="27" t="inlineStr">
        <is>
          <t>TC-003</t>
        </is>
      </c>
      <c r="B5" s="27" t="inlineStr">
        <is>
          <t>REQ-LIVE-01</t>
        </is>
      </c>
      <c r="C5" s="27" t="inlineStr">
        <is>
          <t>Live Practice Coach</t>
        </is>
      </c>
      <c r="D5" s="27" t="inlineStr">
        <is>
          <t>STT</t>
        </is>
      </c>
      <c r="E5" s="27" t="inlineStr">
        <is>
          <t>Deepgram stream</t>
        </is>
      </c>
      <c r="F5" s="27" t="inlineStr">
        <is>
          <t>/app/live</t>
        </is>
      </c>
      <c r="G5" s="27" t="inlineStr">
        <is>
          <t>Pro User</t>
        </is>
      </c>
      <c r="H5" s="27" t="inlineStr">
        <is>
          <t>Critical</t>
        </is>
      </c>
      <c r="I5" s="27" t="inlineStr">
        <is>
          <t>Critical</t>
        </is>
      </c>
      <c r="J5" s="27" t="inlineStr">
        <is>
          <t>Mic open</t>
        </is>
      </c>
      <c r="K5" s="27" t="inlineStr">
        <is>
          <t>Near-real-time transcript</t>
        </is>
      </c>
      <c r="L5" s="27" t="inlineStr">
        <is>
          <t>Pro + mic permission</t>
        </is>
      </c>
      <c r="M5" s="27" t="inlineStr">
        <is>
          <t>1. Start live
2. Speak
3. Observe transcript</t>
        </is>
      </c>
      <c r="N5" s="27" t="inlineStr">
        <is>
          <t>Segments appear under 2s</t>
        </is>
      </c>
      <c r="O5" s="27" t="inlineStr">
        <is>
          <t>OK</t>
        </is>
      </c>
      <c r="P5" s="27" t="inlineStr">
        <is>
          <t>Pass</t>
        </is>
      </c>
      <c r="Q5" s="27" t="inlineStr">
        <is>
          <t>Completed</t>
        </is>
      </c>
      <c r="R5" s="27" t="inlineStr"/>
      <c r="S5" s="27" t="inlineStr">
        <is>
          <t>Shreya Patil</t>
        </is>
      </c>
      <c r="T5" s="27" t="n">
        <v>2</v>
      </c>
      <c r="U5" s="27" t="n">
        <v>1.5</v>
      </c>
      <c r="V5" s="28" t="n">
        <v>46232</v>
      </c>
      <c r="W5" s="27" t="inlineStr">
        <is>
          <t>1.0.0</t>
        </is>
      </c>
      <c r="X5" s="27" t="inlineStr">
        <is>
          <t>Staging</t>
        </is>
      </c>
      <c r="Y5" s="27" t="inlineStr">
        <is>
          <t>Electron</t>
        </is>
      </c>
      <c r="Z5" s="27" t="inlineStr">
        <is>
          <t>Laptop</t>
        </is>
      </c>
      <c r="AA5" s="27" t="inlineStr">
        <is>
          <t>Windows</t>
        </is>
      </c>
      <c r="AB5" s="27" t="inlineStr">
        <is>
          <t>Manual</t>
        </is>
      </c>
      <c r="AC5" s="27" t="inlineStr">
        <is>
          <t>Yes</t>
        </is>
      </c>
      <c r="AD5" s="27" t="inlineStr">
        <is>
          <t>Yes</t>
        </is>
      </c>
      <c r="AE5" s="27" t="inlineStr">
        <is>
          <t>No</t>
        </is>
      </c>
      <c r="AF5" s="27" t="inlineStr">
        <is>
          <t>Sprint 26</t>
        </is>
      </c>
      <c r="AG5" s="27" t="inlineStr">
        <is>
          <t>1.0.0-beta</t>
        </is>
      </c>
      <c r="AH5" s="27" t="inlineStr"/>
    </row>
    <row r="6">
      <c r="A6" s="29" t="inlineStr">
        <is>
          <t>TC-004</t>
        </is>
      </c>
      <c r="B6" s="29" t="inlineStr">
        <is>
          <t>REQ-LIVE-02</t>
        </is>
      </c>
      <c r="C6" s="29" t="inlineStr">
        <is>
          <t>Live Practice Coach</t>
        </is>
      </c>
      <c r="D6" s="29" t="inlineStr">
        <is>
          <t>Overlay</t>
        </is>
      </c>
      <c r="E6" s="29" t="inlineStr">
        <is>
          <t>Pro gate</t>
        </is>
      </c>
      <c r="F6" s="29" t="inlineStr">
        <is>
          <t>/app/live/overlay</t>
        </is>
      </c>
      <c r="G6" s="29" t="inlineStr">
        <is>
          <t>Free User</t>
        </is>
      </c>
      <c r="H6" s="29" t="inlineStr">
        <is>
          <t>Critical</t>
        </is>
      </c>
      <c r="I6" s="29" t="inlineStr">
        <is>
          <t>High</t>
        </is>
      </c>
      <c r="J6" s="29" t="inlineStr">
        <is>
          <t>Free overlay blocked</t>
        </is>
      </c>
      <c r="K6" s="29" t="inlineStr">
        <is>
          <t>Server rejects overlay capture</t>
        </is>
      </c>
      <c r="L6" s="29" t="inlineStr">
        <is>
          <t>Free account</t>
        </is>
      </c>
      <c r="M6" s="29" t="inlineStr">
        <is>
          <t>1. Attempt overlay capture
2. Check response</t>
        </is>
      </c>
      <c r="N6" s="29" t="inlineStr">
        <is>
          <t>403 / upgrade required</t>
        </is>
      </c>
      <c r="O6" s="29" t="inlineStr">
        <is>
          <t>403 returned</t>
        </is>
      </c>
      <c r="P6" s="29" t="inlineStr">
        <is>
          <t>Pass</t>
        </is>
      </c>
      <c r="Q6" s="29" t="inlineStr">
        <is>
          <t>Completed</t>
        </is>
      </c>
      <c r="R6" s="29" t="inlineStr">
        <is>
          <t>BUG-001</t>
        </is>
      </c>
      <c r="S6" s="29" t="inlineStr">
        <is>
          <t>Shreya Patil</t>
        </is>
      </c>
      <c r="T6" s="29" t="n">
        <v>1.5</v>
      </c>
      <c r="U6" s="29" t="n">
        <v>1.25</v>
      </c>
      <c r="V6" s="30" t="n">
        <v>46232</v>
      </c>
      <c r="W6" s="29" t="inlineStr">
        <is>
          <t>1.0.0</t>
        </is>
      </c>
      <c r="X6" s="29" t="inlineStr">
        <is>
          <t>Staging</t>
        </is>
      </c>
      <c r="Y6" s="29" t="inlineStr">
        <is>
          <t>Electron</t>
        </is>
      </c>
      <c r="Z6" s="29" t="inlineStr">
        <is>
          <t>Desktop</t>
        </is>
      </c>
      <c r="AA6" s="29" t="inlineStr">
        <is>
          <t>Windows</t>
        </is>
      </c>
      <c r="AB6" s="29" t="inlineStr">
        <is>
          <t>Candidate</t>
        </is>
      </c>
      <c r="AC6" s="29" t="inlineStr">
        <is>
          <t>Yes</t>
        </is>
      </c>
      <c r="AD6" s="29" t="inlineStr">
        <is>
          <t>Yes</t>
        </is>
      </c>
      <c r="AE6" s="29" t="inlineStr">
        <is>
          <t>No</t>
        </is>
      </c>
      <c r="AF6" s="29" t="inlineStr">
        <is>
          <t>Sprint 26</t>
        </is>
      </c>
      <c r="AG6" s="29" t="inlineStr">
        <is>
          <t>1.0.0-beta</t>
        </is>
      </c>
      <c r="AH6" s="29" t="inlineStr">
        <is>
          <t>Retest after P0-3</t>
        </is>
      </c>
    </row>
    <row r="7">
      <c r="A7" s="27" t="inlineStr">
        <is>
          <t>TC-005</t>
        </is>
      </c>
      <c r="B7" s="27" t="inlineStr">
        <is>
          <t>REQ-BILL-01</t>
        </is>
      </c>
      <c r="C7" s="27" t="inlineStr">
        <is>
          <t>Billing &amp; Credits</t>
        </is>
      </c>
      <c r="D7" s="27" t="inlineStr">
        <is>
          <t>Checkout</t>
        </is>
      </c>
      <c r="E7" s="27" t="inlineStr">
        <is>
          <t>Max Stripe price</t>
        </is>
      </c>
      <c r="F7" s="27" t="inlineStr">
        <is>
          <t>/pricing</t>
        </is>
      </c>
      <c r="G7" s="27" t="inlineStr">
        <is>
          <t>Free User</t>
        </is>
      </c>
      <c r="H7" s="27" t="inlineStr">
        <is>
          <t>Critical</t>
        </is>
      </c>
      <c r="I7" s="27" t="inlineStr">
        <is>
          <t>Critical</t>
        </is>
      </c>
      <c r="J7" s="27" t="inlineStr">
        <is>
          <t>Upgrade Max</t>
        </is>
      </c>
      <c r="K7" s="27" t="inlineStr">
        <is>
          <t>Enterprise price id used</t>
        </is>
      </c>
      <c r="L7" s="27" t="inlineStr">
        <is>
          <t>Stripe test keys</t>
        </is>
      </c>
      <c r="M7" s="27" t="inlineStr">
        <is>
          <t>1. Select Max
2. Checkout
3. Inspect price</t>
        </is>
      </c>
      <c r="N7" s="27" t="inlineStr">
        <is>
          <t>Non-empty enterprise price</t>
        </is>
      </c>
      <c r="O7" s="27" t="inlineStr">
        <is>
          <t>OK</t>
        </is>
      </c>
      <c r="P7" s="27" t="inlineStr">
        <is>
          <t>Pass</t>
        </is>
      </c>
      <c r="Q7" s="27" t="inlineStr">
        <is>
          <t>Completed</t>
        </is>
      </c>
      <c r="R7" s="27" t="inlineStr"/>
      <c r="S7" s="27" t="inlineStr">
        <is>
          <t>Raj Balani</t>
        </is>
      </c>
      <c r="T7" s="27" t="n">
        <v>2</v>
      </c>
      <c r="U7" s="27" t="n">
        <v>1.5</v>
      </c>
      <c r="V7" s="28" t="n">
        <v>46232</v>
      </c>
      <c r="W7" s="27" t="inlineStr">
        <is>
          <t>1.0.0</t>
        </is>
      </c>
      <c r="X7" s="27" t="inlineStr">
        <is>
          <t>Staging</t>
        </is>
      </c>
      <c r="Y7" s="27" t="inlineStr">
        <is>
          <t>Chrome</t>
        </is>
      </c>
      <c r="Z7" s="27" t="inlineStr">
        <is>
          <t>Desktop</t>
        </is>
      </c>
      <c r="AA7" s="27" t="inlineStr">
        <is>
          <t>Web</t>
        </is>
      </c>
      <c r="AB7" s="27" t="inlineStr">
        <is>
          <t>Manual</t>
        </is>
      </c>
      <c r="AC7" s="27" t="inlineStr">
        <is>
          <t>Yes</t>
        </is>
      </c>
      <c r="AD7" s="27" t="inlineStr">
        <is>
          <t>Yes</t>
        </is>
      </c>
      <c r="AE7" s="27" t="inlineStr">
        <is>
          <t>Yes</t>
        </is>
      </c>
      <c r="AF7" s="27" t="inlineStr">
        <is>
          <t>Sprint 26</t>
        </is>
      </c>
      <c r="AG7" s="27" t="inlineStr">
        <is>
          <t>1.0.0-beta</t>
        </is>
      </c>
      <c r="AH7" s="27" t="inlineStr">
        <is>
          <t>P0-1</t>
        </is>
      </c>
    </row>
    <row r="8">
      <c r="A8" s="29" t="inlineStr">
        <is>
          <t>TC-006</t>
        </is>
      </c>
      <c r="B8" s="29" t="inlineStr">
        <is>
          <t>REQ-BILL-02</t>
        </is>
      </c>
      <c r="C8" s="29" t="inlineStr">
        <is>
          <t>Billing &amp; Credits</t>
        </is>
      </c>
      <c r="D8" s="29" t="inlineStr">
        <is>
          <t>Webhook</t>
        </is>
      </c>
      <c r="E8" s="29" t="inlineStr">
        <is>
          <t>payment_failed</t>
        </is>
      </c>
      <c r="F8" s="29" t="inlineStr">
        <is>
          <t>stripe-webhook</t>
        </is>
      </c>
      <c r="G8" s="29" t="inlineStr">
        <is>
          <t>Pro User</t>
        </is>
      </c>
      <c r="H8" s="29" t="inlineStr">
        <is>
          <t>Critical</t>
        </is>
      </c>
      <c r="I8" s="29" t="inlineStr">
        <is>
          <t>Critical</t>
        </is>
      </c>
      <c r="J8" s="29" t="inlineStr">
        <is>
          <t>Failed invoice</t>
        </is>
      </c>
      <c r="K8" s="29" t="inlineStr">
        <is>
          <t>Wallet not wiped</t>
        </is>
      </c>
      <c r="L8" s="29" t="inlineStr">
        <is>
          <t>credits=500</t>
        </is>
      </c>
      <c r="M8" s="29" t="inlineStr">
        <is>
          <t>1. Simulate invoice.payment_failed
2. Read credits</t>
        </is>
      </c>
      <c r="N8" s="29" t="inlineStr">
        <is>
          <t>Credits remain 500</t>
        </is>
      </c>
      <c r="O8" s="29" t="inlineStr">
        <is>
          <t>Unchanged</t>
        </is>
      </c>
      <c r="P8" s="29" t="inlineStr">
        <is>
          <t>Pass</t>
        </is>
      </c>
      <c r="Q8" s="29" t="inlineStr">
        <is>
          <t>Completed</t>
        </is>
      </c>
      <c r="R8" s="29" t="inlineStr"/>
      <c r="S8" s="29" t="inlineStr">
        <is>
          <t>Raj Balani</t>
        </is>
      </c>
      <c r="T8" s="29" t="n">
        <v>1.5</v>
      </c>
      <c r="U8" s="29" t="n">
        <v>1</v>
      </c>
      <c r="V8" s="30" t="n">
        <v>46232</v>
      </c>
      <c r="W8" s="29" t="inlineStr">
        <is>
          <t>1.0.0</t>
        </is>
      </c>
      <c r="X8" s="29" t="inlineStr">
        <is>
          <t>CI</t>
        </is>
      </c>
      <c r="Y8" s="29" t="inlineStr">
        <is>
          <t>N/A</t>
        </is>
      </c>
      <c r="Z8" s="29" t="inlineStr">
        <is>
          <t>Desktop</t>
        </is>
      </c>
      <c r="AA8" s="29" t="inlineStr">
        <is>
          <t>Web</t>
        </is>
      </c>
      <c r="AB8" s="29" t="inlineStr">
        <is>
          <t>Automated</t>
        </is>
      </c>
      <c r="AC8" s="29" t="inlineStr">
        <is>
          <t>Yes</t>
        </is>
      </c>
      <c r="AD8" s="29" t="inlineStr">
        <is>
          <t>Yes</t>
        </is>
      </c>
      <c r="AE8" s="29" t="inlineStr">
        <is>
          <t>No</t>
        </is>
      </c>
      <c r="AF8" s="29" t="inlineStr">
        <is>
          <t>Sprint 26</t>
        </is>
      </c>
      <c r="AG8" s="29" t="inlineStr">
        <is>
          <t>1.0.0-beta</t>
        </is>
      </c>
      <c r="AH8" s="29" t="inlineStr">
        <is>
          <t>P0-2</t>
        </is>
      </c>
    </row>
    <row r="9">
      <c r="A9" s="27" t="inlineStr">
        <is>
          <t>TC-007</t>
        </is>
      </c>
      <c r="B9" s="27" t="inlineStr">
        <is>
          <t>REQ-DOC-01</t>
        </is>
      </c>
      <c r="C9" s="27" t="inlineStr">
        <is>
          <t>Documents &amp; Resumes</t>
        </is>
      </c>
      <c r="D9" s="27" t="inlineStr">
        <is>
          <t>Parse</t>
        </is>
      </c>
      <c r="E9" s="27" t="inlineStr">
        <is>
          <t>Free onboarding parse</t>
        </is>
      </c>
      <c r="F9" s="27" t="inlineStr">
        <is>
          <t>/onboarding</t>
        </is>
      </c>
      <c r="G9" s="27" t="inlineStr">
        <is>
          <t>Free User</t>
        </is>
      </c>
      <c r="H9" s="27" t="inlineStr">
        <is>
          <t>High</t>
        </is>
      </c>
      <c r="I9" s="27" t="inlineStr">
        <is>
          <t>Medium</t>
        </is>
      </c>
      <c r="J9" s="27" t="inlineStr">
        <is>
          <t>First parse free</t>
        </is>
      </c>
      <c r="K9" s="27" t="inlineStr">
        <is>
          <t>No deduct on first onboarding parse</t>
        </is>
      </c>
      <c r="L9" s="27" t="inlineStr">
        <is>
          <t>onboarding_completed=false</t>
        </is>
      </c>
      <c r="M9" s="27" t="inlineStr">
        <is>
          <t>1. Upload resume
2. Check ledger</t>
        </is>
      </c>
      <c r="N9" s="27" t="inlineStr">
        <is>
          <t>Free path / no deduct</t>
        </is>
      </c>
      <c r="O9" s="27" t="inlineStr"/>
      <c r="P9" s="27" t="inlineStr">
        <is>
          <t>Not Run</t>
        </is>
      </c>
      <c r="Q9" s="27" t="inlineStr">
        <is>
          <t>Ready</t>
        </is>
      </c>
      <c r="R9" s="27" t="inlineStr"/>
      <c r="S9" s="27" t="inlineStr">
        <is>
          <t>Shreya Patil</t>
        </is>
      </c>
      <c r="T9" s="27" t="n">
        <v>1.5</v>
      </c>
      <c r="U9" s="27" t="n">
        <v>0</v>
      </c>
      <c r="V9" s="27" t="inlineStr"/>
      <c r="W9" s="27" t="inlineStr">
        <is>
          <t>1.0.0</t>
        </is>
      </c>
      <c r="X9" s="27" t="inlineStr">
        <is>
          <t>Staging</t>
        </is>
      </c>
      <c r="Y9" s="27" t="inlineStr">
        <is>
          <t>Chrome</t>
        </is>
      </c>
      <c r="Z9" s="27" t="inlineStr">
        <is>
          <t>Desktop</t>
        </is>
      </c>
      <c r="AA9" s="27" t="inlineStr">
        <is>
          <t>Web</t>
        </is>
      </c>
      <c r="AB9" s="27" t="inlineStr">
        <is>
          <t>Manual</t>
        </is>
      </c>
      <c r="AC9" s="27" t="inlineStr">
        <is>
          <t>Yes</t>
        </is>
      </c>
      <c r="AD9" s="27" t="inlineStr">
        <is>
          <t>No</t>
        </is>
      </c>
      <c r="AE9" s="27" t="inlineStr">
        <is>
          <t>Yes</t>
        </is>
      </c>
      <c r="AF9" s="27" t="inlineStr">
        <is>
          <t>Sprint 26</t>
        </is>
      </c>
      <c r="AG9" s="27" t="inlineStr">
        <is>
          <t>1.0.0-beta</t>
        </is>
      </c>
      <c r="AH9" s="27" t="inlineStr"/>
    </row>
    <row r="10">
      <c r="A10" s="29" t="inlineStr">
        <is>
          <t>TC-008</t>
        </is>
      </c>
      <c r="B10" s="29" t="inlineStr">
        <is>
          <t>REQ-GOV-01</t>
        </is>
      </c>
      <c r="C10" s="29" t="inlineStr">
        <is>
          <t>Gov Exam Mock Tests</t>
        </is>
      </c>
      <c r="D10" s="29" t="inlineStr">
        <is>
          <t>Submit</t>
        </is>
      </c>
      <c r="E10" s="29" t="inlineStr">
        <is>
          <t>Atomic submit</t>
        </is>
      </c>
      <c r="F10" s="29" t="inlineStr">
        <is>
          <t>/app/mock-test/session/:id</t>
        </is>
      </c>
      <c r="G10" s="29" t="inlineStr">
        <is>
          <t>Free User</t>
        </is>
      </c>
      <c r="H10" s="29" t="inlineStr">
        <is>
          <t>Critical</t>
        </is>
      </c>
      <c r="I10" s="29" t="inlineStr">
        <is>
          <t>High</t>
        </is>
      </c>
      <c r="J10" s="29" t="inlineStr">
        <is>
          <t>Submit answers</t>
        </is>
      </c>
      <c r="K10" s="29" t="inlineStr">
        <is>
          <t>Score persisted once</t>
        </is>
      </c>
      <c r="L10" s="29" t="inlineStr">
        <is>
          <t>Active test</t>
        </is>
      </c>
      <c r="M10" s="29" t="inlineStr">
        <is>
          <t>1. Answer
2. Submit
3. Open results</t>
        </is>
      </c>
      <c r="N10" s="29" t="inlineStr">
        <is>
          <t>Score + breakdown</t>
        </is>
      </c>
      <c r="O10" s="29" t="inlineStr">
        <is>
          <t>OK</t>
        </is>
      </c>
      <c r="P10" s="29" t="inlineStr">
        <is>
          <t>Pass</t>
        </is>
      </c>
      <c r="Q10" s="29" t="inlineStr">
        <is>
          <t>Completed</t>
        </is>
      </c>
      <c r="R10" s="29" t="inlineStr"/>
      <c r="S10" s="29" t="inlineStr">
        <is>
          <t>Raj Balani</t>
        </is>
      </c>
      <c r="T10" s="29" t="n">
        <v>2</v>
      </c>
      <c r="U10" s="29" t="n">
        <v>1.75</v>
      </c>
      <c r="V10" s="30" t="n">
        <v>46232</v>
      </c>
      <c r="W10" s="29" t="inlineStr">
        <is>
          <t>1.0.0</t>
        </is>
      </c>
      <c r="X10" s="29" t="inlineStr">
        <is>
          <t>Staging</t>
        </is>
      </c>
      <c r="Y10" s="29" t="inlineStr">
        <is>
          <t>Chrome</t>
        </is>
      </c>
      <c r="Z10" s="29" t="inlineStr">
        <is>
          <t>Android Phone</t>
        </is>
      </c>
      <c r="AA10" s="29" t="inlineStr">
        <is>
          <t>Android</t>
        </is>
      </c>
      <c r="AB10" s="29" t="inlineStr">
        <is>
          <t>Manual</t>
        </is>
      </c>
      <c r="AC10" s="29" t="inlineStr">
        <is>
          <t>Yes</t>
        </is>
      </c>
      <c r="AD10" s="29" t="inlineStr">
        <is>
          <t>Yes</t>
        </is>
      </c>
      <c r="AE10" s="29" t="inlineStr">
        <is>
          <t>Yes</t>
        </is>
      </c>
      <c r="AF10" s="29" t="inlineStr">
        <is>
          <t>Sprint 26</t>
        </is>
      </c>
      <c r="AG10" s="29" t="inlineStr">
        <is>
          <t>1.0.0-beta</t>
        </is>
      </c>
      <c r="AH10" s="29" t="inlineStr"/>
    </row>
    <row r="11">
      <c r="A11" s="27" t="inlineStr">
        <is>
          <t>TC-009</t>
        </is>
      </c>
      <c r="B11" s="27" t="inlineStr">
        <is>
          <t>REQ-ADM-01</t>
        </is>
      </c>
      <c r="C11" s="27" t="inlineStr">
        <is>
          <t>Admin Portal</t>
        </is>
      </c>
      <c r="D11" s="27" t="inlineStr">
        <is>
          <t>Revenue</t>
        </is>
      </c>
      <c r="E11" s="27" t="inlineStr">
        <is>
          <t>USD vs INR</t>
        </is>
      </c>
      <c r="F11" s="27" t="inlineStr">
        <is>
          <t>/app/admin/revenue</t>
        </is>
      </c>
      <c r="G11" s="27" t="inlineStr">
        <is>
          <t>Admin</t>
        </is>
      </c>
      <c r="H11" s="27" t="inlineStr">
        <is>
          <t>Critical</t>
        </is>
      </c>
      <c r="I11" s="27" t="inlineStr">
        <is>
          <t>High</t>
        </is>
      </c>
      <c r="J11" s="27" t="inlineStr">
        <is>
          <t>Admin revenue view</t>
        </is>
      </c>
      <c r="K11" s="27" t="inlineStr">
        <is>
          <t>Currencies separate</t>
        </is>
      </c>
      <c r="L11" s="27" t="inlineStr">
        <is>
          <t>Admin + sample data</t>
        </is>
      </c>
      <c r="M11" s="27" t="inlineStr">
        <is>
          <t>1. Open Revenue
2. Compare hand calc</t>
        </is>
      </c>
      <c r="N11" s="27" t="inlineStr">
        <is>
          <t>USD MRR + INR separate</t>
        </is>
      </c>
      <c r="O11" s="27" t="inlineStr">
        <is>
          <t>OK</t>
        </is>
      </c>
      <c r="P11" s="27" t="inlineStr">
        <is>
          <t>Pass</t>
        </is>
      </c>
      <c r="Q11" s="27" t="inlineStr">
        <is>
          <t>Completed</t>
        </is>
      </c>
      <c r="R11" s="27" t="inlineStr"/>
      <c r="S11" s="27" t="inlineStr">
        <is>
          <t>Raj Balani</t>
        </is>
      </c>
      <c r="T11" s="27" t="n">
        <v>2.5</v>
      </c>
      <c r="U11" s="27" t="n">
        <v>2</v>
      </c>
      <c r="V11" s="28" t="n">
        <v>46232</v>
      </c>
      <c r="W11" s="27" t="inlineStr">
        <is>
          <t>1.0.0</t>
        </is>
      </c>
      <c r="X11" s="27" t="inlineStr">
        <is>
          <t>Staging</t>
        </is>
      </c>
      <c r="Y11" s="27" t="inlineStr">
        <is>
          <t>Chrome</t>
        </is>
      </c>
      <c r="Z11" s="27" t="inlineStr">
        <is>
          <t>Desktop</t>
        </is>
      </c>
      <c r="AA11" s="27" t="inlineStr">
        <is>
          <t>Web</t>
        </is>
      </c>
      <c r="AB11" s="27" t="inlineStr">
        <is>
          <t>Manual</t>
        </is>
      </c>
      <c r="AC11" s="27" t="inlineStr">
        <is>
          <t>Yes</t>
        </is>
      </c>
      <c r="AD11" s="27" t="inlineStr">
        <is>
          <t>No</t>
        </is>
      </c>
      <c r="AE11" s="27" t="inlineStr">
        <is>
          <t>No</t>
        </is>
      </c>
      <c r="AF11" s="27" t="inlineStr">
        <is>
          <t>Sprint 26</t>
        </is>
      </c>
      <c r="AG11" s="27" t="inlineStr">
        <is>
          <t>1.0.0-beta</t>
        </is>
      </c>
      <c r="AH11" s="27" t="inlineStr">
        <is>
          <t>P0-6</t>
        </is>
      </c>
    </row>
    <row r="12">
      <c r="A12" s="29" t="inlineStr">
        <is>
          <t>TC-010</t>
        </is>
      </c>
      <c r="B12" s="29" t="inlineStr">
        <is>
          <t>REQ-APP-01</t>
        </is>
      </c>
      <c r="C12" s="29" t="inlineStr">
        <is>
          <t>Dashboard</t>
        </is>
      </c>
      <c r="D12" s="29" t="inlineStr">
        <is>
          <t>Routing</t>
        </is>
      </c>
      <c r="E12" s="29" t="inlineStr">
        <is>
          <t>In-app 404</t>
        </is>
      </c>
      <c r="F12" s="29" t="inlineStr">
        <is>
          <t>/app/does-not-exist</t>
        </is>
      </c>
      <c r="G12" s="29" t="inlineStr">
        <is>
          <t>Pro User</t>
        </is>
      </c>
      <c r="H12" s="29" t="inlineStr">
        <is>
          <t>Medium</t>
        </is>
      </c>
      <c r="I12" s="29" t="inlineStr">
        <is>
          <t>Low</t>
        </is>
      </c>
      <c r="J12" s="29" t="inlineStr">
        <is>
          <t>Unknown route</t>
        </is>
      </c>
      <c r="K12" s="29" t="inlineStr">
        <is>
          <t>NotFound in AppShell</t>
        </is>
      </c>
      <c r="L12" s="29" t="inlineStr">
        <is>
          <t>Authenticated</t>
        </is>
      </c>
      <c r="M12" s="29" t="inlineStr">
        <is>
          <t>1. Navigate unknown /app path</t>
        </is>
      </c>
      <c r="N12" s="29" t="inlineStr">
        <is>
          <t>In-app NotFound</t>
        </is>
      </c>
      <c r="O12" s="29" t="inlineStr">
        <is>
          <t>OK</t>
        </is>
      </c>
      <c r="P12" s="29" t="inlineStr">
        <is>
          <t>Pass</t>
        </is>
      </c>
      <c r="Q12" s="29" t="inlineStr">
        <is>
          <t>Completed</t>
        </is>
      </c>
      <c r="R12" s="29" t="inlineStr"/>
      <c r="S12" s="29" t="inlineStr">
        <is>
          <t>Shreya Patil</t>
        </is>
      </c>
      <c r="T12" s="29" t="n">
        <v>0.5</v>
      </c>
      <c r="U12" s="29" t="n">
        <v>0.25</v>
      </c>
      <c r="V12" s="30" t="n">
        <v>46232</v>
      </c>
      <c r="W12" s="29" t="inlineStr">
        <is>
          <t>1.0.0</t>
        </is>
      </c>
      <c r="X12" s="29" t="inlineStr">
        <is>
          <t>Staging</t>
        </is>
      </c>
      <c r="Y12" s="29" t="inlineStr">
        <is>
          <t>Chrome</t>
        </is>
      </c>
      <c r="Z12" s="29" t="inlineStr">
        <is>
          <t>Desktop</t>
        </is>
      </c>
      <c r="AA12" s="29" t="inlineStr">
        <is>
          <t>Web</t>
        </is>
      </c>
      <c r="AB12" s="29" t="inlineStr">
        <is>
          <t>Manual</t>
        </is>
      </c>
      <c r="AC12" s="29" t="inlineStr">
        <is>
          <t>Yes</t>
        </is>
      </c>
      <c r="AD12" s="29" t="inlineStr">
        <is>
          <t>Yes</t>
        </is>
      </c>
      <c r="AE12" s="29" t="inlineStr">
        <is>
          <t>Yes</t>
        </is>
      </c>
      <c r="AF12" s="29" t="inlineStr">
        <is>
          <t>Sprint 26</t>
        </is>
      </c>
      <c r="AG12" s="29" t="inlineStr">
        <is>
          <t>1.0.0-beta</t>
        </is>
      </c>
      <c r="AH12" s="29" t="inlineStr">
        <is>
          <t>P1-4</t>
        </is>
      </c>
    </row>
    <row r="13">
      <c r="A13" s="27" t="inlineStr">
        <is>
          <t>TC-011</t>
        </is>
      </c>
      <c r="B13" s="27" t="inlineStr">
        <is>
          <t>REQ-LIVE-03</t>
        </is>
      </c>
      <c r="C13" s="27" t="inlineStr">
        <is>
          <t>Live Practice Coach</t>
        </is>
      </c>
      <c r="D13" s="27" t="inlineStr">
        <is>
          <t>Credits</t>
        </is>
      </c>
      <c r="E13" s="27" t="inlineStr">
        <is>
          <t>Hint deduct</t>
        </is>
      </c>
      <c r="F13" s="27" t="inlineStr">
        <is>
          <t>/app/live</t>
        </is>
      </c>
      <c r="G13" s="27" t="inlineStr">
        <is>
          <t>Pro User</t>
        </is>
      </c>
      <c r="H13" s="27" t="inlineStr">
        <is>
          <t>High</t>
        </is>
      </c>
      <c r="I13" s="27" t="inlineStr">
        <is>
          <t>High</t>
        </is>
      </c>
      <c r="J13" s="27" t="inlineStr">
        <is>
          <t>Insufficient credits</t>
        </is>
      </c>
      <c r="K13" s="27" t="inlineStr">
        <is>
          <t>402 when wallet low</t>
        </is>
      </c>
      <c r="L13" s="27" t="inlineStr">
        <is>
          <t>credits below cost</t>
        </is>
      </c>
      <c r="M13" s="27" t="inlineStr">
        <is>
          <t>1. Drain credits
2. Request hint</t>
        </is>
      </c>
      <c r="N13" s="27" t="inlineStr">
        <is>
          <t>402 + message</t>
        </is>
      </c>
      <c r="O13" s="27" t="inlineStr">
        <is>
          <t>In progress</t>
        </is>
      </c>
      <c r="P13" s="27" t="inlineStr">
        <is>
          <t>In Progress</t>
        </is>
      </c>
      <c r="Q13" s="27" t="inlineStr">
        <is>
          <t>In Progress</t>
        </is>
      </c>
      <c r="R13" s="27" t="inlineStr"/>
      <c r="S13" s="27" t="inlineStr">
        <is>
          <t>Shreya Patil</t>
        </is>
      </c>
      <c r="T13" s="27" t="n">
        <v>1.5</v>
      </c>
      <c r="U13" s="27" t="n">
        <v>0.5</v>
      </c>
      <c r="V13" s="28" t="n">
        <v>46232</v>
      </c>
      <c r="W13" s="27" t="inlineStr">
        <is>
          <t>1.0.0</t>
        </is>
      </c>
      <c r="X13" s="27" t="inlineStr">
        <is>
          <t>Staging</t>
        </is>
      </c>
      <c r="Y13" s="27" t="inlineStr">
        <is>
          <t>Chrome</t>
        </is>
      </c>
      <c r="Z13" s="27" t="inlineStr">
        <is>
          <t>Desktop</t>
        </is>
      </c>
      <c r="AA13" s="27" t="inlineStr">
        <is>
          <t>Web</t>
        </is>
      </c>
      <c r="AB13" s="27" t="inlineStr">
        <is>
          <t>Candidate</t>
        </is>
      </c>
      <c r="AC13" s="27" t="inlineStr">
        <is>
          <t>Yes</t>
        </is>
      </c>
      <c r="AD13" s="27" t="inlineStr">
        <is>
          <t>No</t>
        </is>
      </c>
      <c r="AE13" s="27" t="inlineStr">
        <is>
          <t>No</t>
        </is>
      </c>
      <c r="AF13" s="27" t="inlineStr">
        <is>
          <t>Sprint 26</t>
        </is>
      </c>
      <c r="AG13" s="27" t="inlineStr">
        <is>
          <t>1.0.0-beta</t>
        </is>
      </c>
      <c r="AH13" s="27" t="inlineStr"/>
    </row>
    <row r="14">
      <c r="A14" s="29" t="inlineStr">
        <is>
          <t>TC-012</t>
        </is>
      </c>
      <c r="B14" s="29" t="inlineStr">
        <is>
          <t>REQ-SEC-01</t>
        </is>
      </c>
      <c r="C14" s="29" t="inlineStr">
        <is>
          <t>Security &amp; Platform</t>
        </is>
      </c>
      <c r="D14" s="29" t="inlineStr">
        <is>
          <t>Authz</t>
        </is>
      </c>
      <c r="E14" s="29" t="inlineStr">
        <is>
          <t>Non-admin admin route</t>
        </is>
      </c>
      <c r="F14" s="29" t="inlineStr">
        <is>
          <t>/app/admin</t>
        </is>
      </c>
      <c r="G14" s="29" t="inlineStr">
        <is>
          <t>Free User</t>
        </is>
      </c>
      <c r="H14" s="29" t="inlineStr">
        <is>
          <t>Critical</t>
        </is>
      </c>
      <c r="I14" s="29" t="inlineStr">
        <is>
          <t>Critical</t>
        </is>
      </c>
      <c r="J14" s="29" t="inlineStr">
        <is>
          <t>Unauthorized admin</t>
        </is>
      </c>
      <c r="K14" s="29" t="inlineStr">
        <is>
          <t>Redirect / deny</t>
        </is>
      </c>
      <c r="L14" s="29" t="inlineStr">
        <is>
          <t>Non-admin user</t>
        </is>
      </c>
      <c r="M14" s="29" t="inlineStr">
        <is>
          <t>1. Open /app/admin</t>
        </is>
      </c>
      <c r="N14" s="29" t="inlineStr">
        <is>
          <t>Denied</t>
        </is>
      </c>
      <c r="O14" s="29" t="inlineStr">
        <is>
          <t>Denied</t>
        </is>
      </c>
      <c r="P14" s="29" t="inlineStr">
        <is>
          <t>Pass</t>
        </is>
      </c>
      <c r="Q14" s="29" t="inlineStr">
        <is>
          <t>Completed</t>
        </is>
      </c>
      <c r="R14" s="29" t="inlineStr"/>
      <c r="S14" s="29" t="inlineStr">
        <is>
          <t>Raj Balani</t>
        </is>
      </c>
      <c r="T14" s="29" t="n">
        <v>1</v>
      </c>
      <c r="U14" s="29" t="n">
        <v>0.75</v>
      </c>
      <c r="V14" s="30" t="n">
        <v>46232</v>
      </c>
      <c r="W14" s="29" t="inlineStr">
        <is>
          <t>1.0.0</t>
        </is>
      </c>
      <c r="X14" s="29" t="inlineStr">
        <is>
          <t>Staging</t>
        </is>
      </c>
      <c r="Y14" s="29" t="inlineStr">
        <is>
          <t>Chrome</t>
        </is>
      </c>
      <c r="Z14" s="29" t="inlineStr">
        <is>
          <t>Desktop</t>
        </is>
      </c>
      <c r="AA14" s="29" t="inlineStr">
        <is>
          <t>Web</t>
        </is>
      </c>
      <c r="AB14" s="29" t="inlineStr">
        <is>
          <t>Manual</t>
        </is>
      </c>
      <c r="AC14" s="29" t="inlineStr">
        <is>
          <t>Yes</t>
        </is>
      </c>
      <c r="AD14" s="29" t="inlineStr">
        <is>
          <t>Yes</t>
        </is>
      </c>
      <c r="AE14" s="29" t="inlineStr">
        <is>
          <t>Yes</t>
        </is>
      </c>
      <c r="AF14" s="29" t="inlineStr">
        <is>
          <t>Sprint 26</t>
        </is>
      </c>
      <c r="AG14" s="29" t="inlineStr">
        <is>
          <t>1.0.0-beta</t>
        </is>
      </c>
      <c r="AH14" s="29" t="inlineStr"/>
    </row>
    <row r="15">
      <c r="A15" s="31" t="inlineStr">
        <is>
          <t>TOTAL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31">
        <f>SUM(T3:T14)</f>
        <v/>
      </c>
      <c r="U15" s="31">
        <f>SUM(U3:U14)</f>
        <v/>
      </c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</row>
  </sheetData>
  <autoFilter ref="A2:AH15"/>
  <mergeCells count="1">
    <mergeCell ref="A1:H1"/>
  </mergeCells>
  <conditionalFormatting sqref="P3:P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Q3:Q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H3:H500">
    <cfRule type="cellIs" priority="35" operator="equal" dxfId="0">
      <formula>"Critical"</formula>
    </cfRule>
    <cfRule type="cellIs" priority="36" operator="equal" dxfId="1">
      <formula>"High"</formula>
    </cfRule>
    <cfRule type="cellIs" priority="37" operator="equal" dxfId="2">
      <formula>"Medium"</formula>
    </cfRule>
    <cfRule type="cellIs" priority="38" operator="equal" dxfId="3">
      <formula>"Low"</formula>
    </cfRule>
  </conditionalFormatting>
  <conditionalFormatting sqref="I3:I500">
    <cfRule type="cellIs" priority="39" operator="equal" dxfId="0">
      <formula>"Critical"</formula>
    </cfRule>
    <cfRule type="cellIs" priority="40" operator="equal" dxfId="1">
      <formula>"High"</formula>
    </cfRule>
    <cfRule type="cellIs" priority="41" operator="equal" dxfId="2">
      <formula>"Medium"</formula>
    </cfRule>
    <cfRule type="cellIs" priority="42" operator="equal" dxfId="3">
      <formula>"Low"</formula>
    </cfRule>
  </conditionalFormatting>
  <dataValidations count="15">
    <dataValidation sqref="C3:C5000" showDropDown="0" showInputMessage="0" showErrorMessage="0" allowBlank="1" errorTitle="Invalid" error="Pick a value from the list" type="list">
      <formula1>Lists!$Z$2:$Z$23</formula1>
    </dataValidation>
    <dataValidation sqref="G3:G5000" showDropDown="0" showInputMessage="0" showErrorMessage="0" allowBlank="1" errorTitle="Invalid" error="Pick a value from the list" type="list">
      <formula1>Lists!$AB$2:$AB$6</formula1>
    </dataValidation>
    <dataValidation sqref="H3:H5000" showDropDown="0" showInputMessage="0" showErrorMessage="0" allowBlank="1" errorTitle="Invalid" error="Pick a value from the list" type="list">
      <formula1>Lists!$C$2:$C$5</formula1>
    </dataValidation>
    <dataValidation sqref="I3:I5000" showDropDown="0" showInputMessage="0" showErrorMessage="0" allowBlank="1" errorTitle="Invalid" error="Pick a value from the list" type="list">
      <formula1>Lists!$D$2:$D$5</formula1>
    </dataValidation>
    <dataValidation sqref="P3:P5000" showDropDown="0" showInputMessage="0" showErrorMessage="0" allowBlank="1" errorTitle="Invalid" error="Pick a value from the list" type="list">
      <formula1>Lists!$B$2:$B$7</formula1>
    </dataValidation>
    <dataValidation sqref="Q3:Q5000" showDropDown="0" showInputMessage="0" showErrorMessage="0" allowBlank="1" errorTitle="Invalid" error="Pick a value from the list" type="list">
      <formula1>Lists!$A$2:$A$9</formula1>
    </dataValidation>
    <dataValidation sqref="S3:S5000" showDropDown="0" showInputMessage="0" showErrorMessage="0" allowBlank="1" errorTitle="Invalid" error="Pick a value from the list" type="list">
      <formula1>Lists!$AC$2:$AC$3</formula1>
    </dataValidation>
    <dataValidation sqref="X3:X5000" showDropDown="0" showInputMessage="0" showErrorMessage="0" allowBlank="1" errorTitle="Invalid" error="Pick a value from the list" type="list">
      <formula1>Lists!$E$2:$E$7</formula1>
    </dataValidation>
    <dataValidation sqref="Y3:Y5000" showDropDown="0" showInputMessage="0" showErrorMessage="0" allowBlank="1" errorTitle="Invalid" error="Pick a value from the list" type="list">
      <formula1>Lists!$F$2:$F$7</formula1>
    </dataValidation>
    <dataValidation sqref="Z3:Z5000" showDropDown="0" showInputMessage="0" showErrorMessage="0" allowBlank="1" errorTitle="Invalid" error="Pick a value from the list" type="list">
      <formula1>Lists!$G$2:$G$7</formula1>
    </dataValidation>
    <dataValidation sqref="AA3:AA5000" showDropDown="0" showInputMessage="0" showErrorMessage="0" allowBlank="1" errorTitle="Invalid" error="Pick a value from the list" type="list">
      <formula1>Lists!$H$2:$H$7</formula1>
    </dataValidation>
    <dataValidation sqref="AB3:AB5000" showDropDown="0" showInputMessage="0" showErrorMessage="0" allowBlank="1" errorTitle="Invalid" error="Pick a value from the list" type="list">
      <formula1>Lists!$N$2:$N$5</formula1>
    </dataValidation>
    <dataValidation sqref="AC3:AE5000" showDropDown="0" showInputMessage="0" showErrorMessage="0" allowBlank="1" errorTitle="Invalid" error="Pick a value from the list" type="list">
      <formula1>Lists!$I$2:$I$5</formula1>
    </dataValidation>
    <dataValidation sqref="AF3:AF5000" showDropDown="0" showInputMessage="0" showErrorMessage="0" allowBlank="1" errorTitle="Invalid" error="Pick a value from the list" type="list">
      <formula1>Lists!$W$2:$W$6</formula1>
    </dataValidation>
    <dataValidation sqref="AG3:AG5000" showDropDown="0" showInputMessage="0" showErrorMessage="0" allowBlank="1" errorTitle="Invalid" error="Pick a value from the list" type="list">
      <formula1>Lists!$X$2:$X$5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18" customWidth="1" min="3" max="3"/>
    <col width="27" customWidth="1" min="4" max="4"/>
    <col width="28" customWidth="1" min="5" max="5"/>
    <col width="36" customWidth="1" min="6" max="6"/>
    <col width="36" customWidth="1" min="7" max="7"/>
    <col width="16" customWidth="1" min="8" max="8"/>
    <col width="12" customWidth="1" min="9" max="9"/>
    <col width="12" customWidth="1" min="10" max="10"/>
    <col width="27" customWidth="1" min="11" max="11"/>
    <col width="14" customWidth="1" min="12" max="12"/>
    <col width="13" customWidth="1" min="13" max="13"/>
    <col width="14" customWidth="1" min="14" max="14"/>
    <col width="18" customWidth="1" min="15" max="15"/>
  </cols>
  <sheetData>
    <row r="1">
      <c r="A1" s="1" t="inlineStr">
        <is>
          <t>End-to-End User Flows — golden paths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Flow ID</t>
        </is>
      </c>
      <c r="B2" s="26" t="inlineStr">
        <is>
          <t>Flow Name</t>
        </is>
      </c>
      <c r="C2" s="26" t="inlineStr">
        <is>
          <t>Portal</t>
        </is>
      </c>
      <c r="D2" s="26" t="inlineStr">
        <is>
          <t>Start Page</t>
        </is>
      </c>
      <c r="E2" s="26" t="inlineStr">
        <is>
          <t>End Page</t>
        </is>
      </c>
      <c r="F2" s="26" t="inlineStr">
        <is>
          <t>Steps</t>
        </is>
      </c>
      <c r="G2" s="26" t="inlineStr">
        <is>
          <t>Expected Outcome</t>
        </is>
      </c>
      <c r="H2" s="26" t="inlineStr">
        <is>
          <t>Actual Outcome</t>
        </is>
      </c>
      <c r="I2" s="26" t="inlineStr">
        <is>
          <t>Pass</t>
        </is>
      </c>
      <c r="J2" s="26" t="inlineStr">
        <is>
          <t>Risk</t>
        </is>
      </c>
      <c r="K2" s="26" t="inlineStr">
        <is>
          <t>Dependencies</t>
        </is>
      </c>
      <c r="L2" s="26" t="inlineStr">
        <is>
          <t>QA Owner</t>
        </is>
      </c>
      <c r="M2" s="26" t="inlineStr">
        <is>
          <t>Est Hours</t>
        </is>
      </c>
      <c r="N2" s="26" t="inlineStr">
        <is>
          <t>Actual Hours</t>
        </is>
      </c>
      <c r="O2" s="26" t="inlineStr">
        <is>
          <t>Comments</t>
        </is>
      </c>
    </row>
    <row r="3">
      <c r="A3" s="27" t="inlineStr">
        <is>
          <t>E2E-01</t>
        </is>
      </c>
      <c r="B3" s="27" t="inlineStr">
        <is>
          <t>Signup to Onboarding to Dashboard</t>
        </is>
      </c>
      <c r="C3" s="27" t="inlineStr">
        <is>
          <t>Auth Portal</t>
        </is>
      </c>
      <c r="D3" s="27" t="inlineStr">
        <is>
          <t>/signup</t>
        </is>
      </c>
      <c r="E3" s="27" t="inlineStr">
        <is>
          <t>/app/dashboard</t>
        </is>
      </c>
      <c r="F3" s="27" t="inlineStr">
        <is>
          <t>1. Sign up 2. Verify email 3. Complete 5 steps 4. Land dashboard</t>
        </is>
      </c>
      <c r="G3" s="27" t="inlineStr">
        <is>
          <t>Profile + onboarding_completed + starter credits</t>
        </is>
      </c>
      <c r="H3" s="27" t="inlineStr">
        <is>
          <t>OK on Staging</t>
        </is>
      </c>
      <c r="I3" s="27" t="inlineStr">
        <is>
          <t>Pass</t>
        </is>
      </c>
      <c r="J3" s="27" t="inlineStr">
        <is>
          <t>High</t>
        </is>
      </c>
      <c r="K3" s="27" t="inlineStr">
        <is>
          <t>Auth, Email</t>
        </is>
      </c>
      <c r="L3" s="27" t="inlineStr">
        <is>
          <t>Raj Balani</t>
        </is>
      </c>
      <c r="M3" s="27" t="n">
        <v>3</v>
      </c>
      <c r="N3" s="27" t="n">
        <v>2.5</v>
      </c>
      <c r="O3" s="27" t="inlineStr"/>
    </row>
    <row r="4">
      <c r="A4" s="29" t="inlineStr">
        <is>
          <t>E2E-02</t>
        </is>
      </c>
      <c r="B4" s="29" t="inlineStr">
        <is>
          <t>Free to Pro Stripe checkout</t>
        </is>
      </c>
      <c r="C4" s="29" t="inlineStr">
        <is>
          <t>Candidate App</t>
        </is>
      </c>
      <c r="D4" s="29" t="inlineStr">
        <is>
          <t>/pricing</t>
        </is>
      </c>
      <c r="E4" s="29" t="inlineStr">
        <is>
          <t>/app/settings/billing</t>
        </is>
      </c>
      <c r="F4" s="29" t="inlineStr">
        <is>
          <t>1. Choose Pro 2. Stripe Checkout 3. Webhook 4. Open Billing</t>
        </is>
      </c>
      <c r="G4" s="29" t="inlineStr">
        <is>
          <t>plan=pro, credits granted, ledger entry</t>
        </is>
      </c>
      <c r="H4" s="29" t="inlineStr"/>
      <c r="I4" s="29" t="inlineStr">
        <is>
          <t>Not Run</t>
        </is>
      </c>
      <c r="J4" s="29" t="inlineStr">
        <is>
          <t>Critical</t>
        </is>
      </c>
      <c r="K4" s="29" t="inlineStr">
        <is>
          <t>Stripe test keys</t>
        </is>
      </c>
      <c r="L4" s="29" t="inlineStr">
        <is>
          <t>Raj Balani</t>
        </is>
      </c>
      <c r="M4" s="29" t="n">
        <v>4</v>
      </c>
      <c r="N4" s="29" t="n">
        <v>0</v>
      </c>
      <c r="O4" s="29" t="inlineStr">
        <is>
          <t>Money path</t>
        </is>
      </c>
    </row>
    <row r="5">
      <c r="A5" s="27" t="inlineStr">
        <is>
          <t>E2E-03</t>
        </is>
      </c>
      <c r="B5" s="27" t="inlineStr">
        <is>
          <t>Live coach rehearsal</t>
        </is>
      </c>
      <c r="C5" s="27" t="inlineStr">
        <is>
          <t>Candidate App</t>
        </is>
      </c>
      <c r="D5" s="27" t="inlineStr">
        <is>
          <t>/app/live</t>
        </is>
      </c>
      <c r="E5" s="27" t="inlineStr">
        <is>
          <t>/app/sessions/:id</t>
        </is>
      </c>
      <c r="F5" s="27" t="inlineStr">
        <is>
          <t>1. Start 2. Audio 3. Generate answer 4. End 5. Debrief</t>
        </is>
      </c>
      <c r="G5" s="27" t="inlineStr">
        <is>
          <t>Session + transcript + debrief</t>
        </is>
      </c>
      <c r="H5" s="27" t="inlineStr">
        <is>
          <t>OK</t>
        </is>
      </c>
      <c r="I5" s="27" t="inlineStr">
        <is>
          <t>Pass</t>
        </is>
      </c>
      <c r="J5" s="27" t="inlineStr">
        <is>
          <t>Critical</t>
        </is>
      </c>
      <c r="K5" s="27" t="inlineStr">
        <is>
          <t>Deepgram, Gemini, Credits</t>
        </is>
      </c>
      <c r="L5" s="27" t="inlineStr">
        <is>
          <t>Shreya Patil</t>
        </is>
      </c>
      <c r="M5" s="27" t="n">
        <v>5</v>
      </c>
      <c r="N5" s="27" t="n">
        <v>4</v>
      </c>
      <c r="O5" s="27" t="inlineStr"/>
    </row>
    <row r="6">
      <c r="A6" s="29" t="inlineStr">
        <is>
          <t>E2E-04</t>
        </is>
      </c>
      <c r="B6" s="29" t="inlineStr">
        <is>
          <t>Gov exam create to results</t>
        </is>
      </c>
      <c r="C6" s="29" t="inlineStr">
        <is>
          <t>Candidate App</t>
        </is>
      </c>
      <c r="D6" s="29" t="inlineStr">
        <is>
          <t>/app/mock-test</t>
        </is>
      </c>
      <c r="E6" s="29" t="inlineStr">
        <is>
          <t>/app/mock-test/results/:id</t>
        </is>
      </c>
      <c r="F6" s="29" t="inlineStr">
        <is>
          <t>1. Select exam 2. create-test 3. Answer 4. submit 5. Results</t>
        </is>
      </c>
      <c r="G6" s="29" t="inlineStr">
        <is>
          <t>Atomic score, no double submit</t>
        </is>
      </c>
      <c r="H6" s="29" t="inlineStr">
        <is>
          <t>OK</t>
        </is>
      </c>
      <c r="I6" s="29" t="inlineStr">
        <is>
          <t>Pass</t>
        </is>
      </c>
      <c r="J6" s="29" t="inlineStr">
        <is>
          <t>High</t>
        </is>
      </c>
      <c r="K6" s="29" t="inlineStr">
        <is>
          <t>Question bank</t>
        </is>
      </c>
      <c r="L6" s="29" t="inlineStr">
        <is>
          <t>Raj Balani</t>
        </is>
      </c>
      <c r="M6" s="29" t="n">
        <v>3.5</v>
      </c>
      <c r="N6" s="29" t="n">
        <v>3</v>
      </c>
      <c r="O6" s="29" t="inlineStr">
        <is>
          <t>Thin content</t>
        </is>
      </c>
    </row>
    <row r="7">
      <c r="A7" s="27" t="inlineStr">
        <is>
          <t>E2E-05</t>
        </is>
      </c>
      <c r="B7" s="27" t="inlineStr">
        <is>
          <t>Admin seed to candidate test</t>
        </is>
      </c>
      <c r="C7" s="27" t="inlineStr">
        <is>
          <t>Admin Portal</t>
        </is>
      </c>
      <c r="D7" s="27" t="inlineStr">
        <is>
          <t>/app/admin/seed-questions</t>
        </is>
      </c>
      <c r="E7" s="27" t="inlineStr">
        <is>
          <t>/app/mock-test</t>
        </is>
      </c>
      <c r="F7" s="27" t="inlineStr">
        <is>
          <t>1. Import questions 2. Candidate creates test</t>
        </is>
      </c>
      <c r="G7" s="27" t="inlineStr">
        <is>
          <t>Imported questions available</t>
        </is>
      </c>
      <c r="H7" s="27" t="inlineStr">
        <is>
          <t>Blocked</t>
        </is>
      </c>
      <c r="I7" s="27" t="inlineStr">
        <is>
          <t>Blocked</t>
        </is>
      </c>
      <c r="J7" s="27" t="inlineStr">
        <is>
          <t>High</t>
        </is>
      </c>
      <c r="K7" s="27" t="inlineStr">
        <is>
          <t>Admin, Gemini PDF</t>
        </is>
      </c>
      <c r="L7" s="27" t="inlineStr">
        <is>
          <t>Raj Balani</t>
        </is>
      </c>
      <c r="M7" s="27" t="n">
        <v>4</v>
      </c>
      <c r="N7" s="27" t="n">
        <v>1</v>
      </c>
      <c r="O7" s="27" t="inlineStr"/>
    </row>
    <row r="8">
      <c r="A8" s="29" t="inlineStr">
        <is>
          <t>E2E-06</t>
        </is>
      </c>
      <c r="B8" s="29" t="inlineStr">
        <is>
          <t>Electron overlay boot</t>
        </is>
      </c>
      <c r="C8" s="29" t="inlineStr">
        <is>
          <t>Electron Overlay</t>
        </is>
      </c>
      <c r="D8" s="29" t="inlineStr">
        <is>
          <t>Clarify AI.exe</t>
        </is>
      </c>
      <c r="E8" s="29" t="inlineStr">
        <is>
          <t>Overlay window</t>
        </is>
      </c>
      <c r="F8" s="29" t="inlineStr">
        <is>
          <t>1. Launch 2. Auth if needed 3. Overlay topmost 4. Hotkey</t>
        </is>
      </c>
      <c r="G8" s="29" t="inlineStr">
        <is>
          <t>Overlay-only shell</t>
        </is>
      </c>
      <c r="H8" s="29" t="inlineStr"/>
      <c r="I8" s="29" t="inlineStr">
        <is>
          <t>Not Run</t>
        </is>
      </c>
      <c r="J8" s="29" t="inlineStr">
        <is>
          <t>Critical</t>
        </is>
      </c>
      <c r="K8" s="29" t="inlineStr">
        <is>
          <t>Code signing deferred</t>
        </is>
      </c>
      <c r="L8" s="29" t="inlineStr">
        <is>
          <t>Shreya Patil</t>
        </is>
      </c>
      <c r="M8" s="29" t="n">
        <v>3</v>
      </c>
      <c r="N8" s="29" t="n">
        <v>0</v>
      </c>
      <c r="O8" s="29" t="inlineStr">
        <is>
          <t>Unsigned beta OK</t>
        </is>
      </c>
    </row>
    <row r="9">
      <c r="A9" s="36" t="inlineStr">
        <is>
          <t>TOTAL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36">
        <f>SUM(M3:M8)</f>
        <v/>
      </c>
      <c r="N9" s="36">
        <f>SUM(N3:N8)</f>
        <v/>
      </c>
      <c r="O9" s="27" t="n"/>
    </row>
  </sheetData>
  <autoFilter ref="A2:O9"/>
  <mergeCells count="1">
    <mergeCell ref="A1:H1"/>
  </mergeCells>
  <conditionalFormatting sqref="I3:I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J3:J500">
    <cfRule type="cellIs" priority="18" operator="equal" dxfId="0">
      <formula>"Critical"</formula>
    </cfRule>
    <cfRule type="cellIs" priority="19" operator="equal" dxfId="1">
      <formula>"High"</formula>
    </cfRule>
    <cfRule type="cellIs" priority="20" operator="equal" dxfId="2">
      <formula>"Medium"</formula>
    </cfRule>
    <cfRule type="cellIs" priority="21" operator="equal" dxfId="3">
      <formula>"Low"</formula>
    </cfRule>
  </conditionalFormatting>
  <dataValidations count="4">
    <dataValidation sqref="C3:C5000" showDropDown="0" showInputMessage="0" showErrorMessage="0" allowBlank="1" errorTitle="Invalid" error="Pick a value from the list" type="list">
      <formula1>Lists!$AA$2:$AA$7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Lists!$L$2:$L$5</formula1>
    </dataValidation>
    <dataValidation sqref="L3:L5000" showDropDown="0" showInputMessage="0" showErrorMessage="0" allowBlank="1" errorTitle="Invalid" error="Pick a value from the list" type="list">
      <formula1>Lists!$AC$2:$AC$3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6" customWidth="1" min="2" max="2"/>
    <col width="36" customWidth="1" min="3" max="3"/>
    <col width="26" customWidth="1" min="4" max="4"/>
    <col width="2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4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5" customWidth="1" min="20" max="20"/>
    <col width="36" customWidth="1" min="21" max="21"/>
    <col width="17" customWidth="1" min="22" max="22"/>
    <col width="12" customWidth="1" min="23" max="23"/>
    <col width="27" customWidth="1" min="24" max="24"/>
  </cols>
  <sheetData>
    <row r="1">
      <c r="A1" s="1" t="inlineStr">
        <is>
          <t>Bug Tracker — audit defect register + open issues (58 bugs)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11" t="inlineStr">
        <is>
          <t>● 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Bug ID</t>
        </is>
      </c>
      <c r="B2" s="26" t="inlineStr">
        <is>
          <t>Title</t>
        </is>
      </c>
      <c r="C2" s="26" t="inlineStr">
        <is>
          <t>Description</t>
        </is>
      </c>
      <c r="D2" s="26" t="inlineStr">
        <is>
          <t>Module</t>
        </is>
      </c>
      <c r="E2" s="26" t="inlineStr">
        <is>
          <t>Feature</t>
        </is>
      </c>
      <c r="F2" s="26" t="inlineStr">
        <is>
          <t>Environment</t>
        </is>
      </c>
      <c r="G2" s="26" t="inlineStr">
        <is>
          <t>Browser</t>
        </is>
      </c>
      <c r="H2" s="26" t="inlineStr">
        <is>
          <t>Device</t>
        </is>
      </c>
      <c r="I2" s="26" t="inlineStr">
        <is>
          <t>OS</t>
        </is>
      </c>
      <c r="J2" s="26" t="inlineStr">
        <is>
          <t>Severity</t>
        </is>
      </c>
      <c r="K2" s="26" t="inlineStr">
        <is>
          <t>Priority</t>
        </is>
      </c>
      <c r="L2" s="26" t="inlineStr">
        <is>
          <t>Status</t>
        </is>
      </c>
      <c r="M2" s="26" t="inlineStr">
        <is>
          <t>Assigned To</t>
        </is>
      </c>
      <c r="N2" s="26" t="inlineStr">
        <is>
          <t>Reported By</t>
        </is>
      </c>
      <c r="O2" s="26" t="inlineStr">
        <is>
          <t>Found Date</t>
        </is>
      </c>
      <c r="P2" s="26" t="inlineStr">
        <is>
          <t>Fixed Date</t>
        </is>
      </c>
      <c r="Q2" s="26" t="inlineStr">
        <is>
          <t>Retest Date</t>
        </is>
      </c>
      <c r="R2" s="26" t="inlineStr">
        <is>
          <t>Build</t>
        </is>
      </c>
      <c r="S2" s="26" t="inlineStr">
        <is>
          <t>Sprint</t>
        </is>
      </c>
      <c r="T2" s="26" t="inlineStr">
        <is>
          <t>Root Cause</t>
        </is>
      </c>
      <c r="U2" s="26" t="inlineStr">
        <is>
          <t>Resolution</t>
        </is>
      </c>
      <c r="V2" s="26" t="inlineStr">
        <is>
          <t>Screenshot Link</t>
        </is>
      </c>
      <c r="W2" s="26" t="inlineStr">
        <is>
          <t>Video Link</t>
        </is>
      </c>
      <c r="X2" s="26" t="inlineStr">
        <is>
          <t>Comments</t>
        </is>
      </c>
    </row>
    <row r="3">
      <c r="A3" s="27" t="inlineStr">
        <is>
          <t>BUG-P0-01</t>
        </is>
      </c>
      <c r="B3" s="27" t="inlineStr">
        <is>
          <t>Max/enterprise Stripe price IDs missing</t>
        </is>
      </c>
      <c r="C3" s="27" t="inlineStr">
        <is>
          <t>PLANS.enterprise lacked stripePriceIdMonthly/Yearly so Max checkout failed</t>
        </is>
      </c>
      <c r="D3" s="27" t="inlineStr">
        <is>
          <t>Billing &amp; Credits</t>
        </is>
      </c>
      <c r="E3" s="27" t="inlineStr">
        <is>
          <t>Stripe checkout + webhooks</t>
        </is>
      </c>
      <c r="F3" s="27" t="inlineStr">
        <is>
          <t>Staging</t>
        </is>
      </c>
      <c r="G3" s="27" t="inlineStr">
        <is>
          <t>Chrome</t>
        </is>
      </c>
      <c r="H3" s="27" t="inlineStr">
        <is>
          <t>Desktop</t>
        </is>
      </c>
      <c r="I3" s="27" t="inlineStr">
        <is>
          <t>Windows</t>
        </is>
      </c>
      <c r="J3" s="27" t="inlineStr">
        <is>
          <t>Critical</t>
        </is>
      </c>
      <c r="K3" s="27" t="inlineStr">
        <is>
          <t>Critical</t>
        </is>
      </c>
      <c r="L3" s="27" t="inlineStr">
        <is>
          <t>Closed</t>
        </is>
      </c>
      <c r="M3" s="27" t="inlineStr">
        <is>
          <t>Billing</t>
        </is>
      </c>
      <c r="N3" s="27" t="inlineStr">
        <is>
          <t>Raj Balani</t>
        </is>
      </c>
      <c r="O3" s="28" t="n">
        <v>46212</v>
      </c>
      <c r="P3" s="28" t="n">
        <v>46230</v>
      </c>
      <c r="Q3" s="28" t="n">
        <v>46231</v>
      </c>
      <c r="R3" s="27" t="inlineStr">
        <is>
          <t>1.0.0</t>
        </is>
      </c>
      <c r="S3" s="27" t="inlineStr">
        <is>
          <t>Sprint 26</t>
        </is>
      </c>
      <c r="T3" s="27" t="inlineStr">
        <is>
          <t>Config/Env</t>
        </is>
      </c>
      <c r="U3" s="27" t="inlineStr">
        <is>
          <t>Wired ENV.STRIPE_PRICE_ENTERPRISE_*</t>
        </is>
      </c>
      <c r="V3" s="27" t="inlineStr"/>
      <c r="W3" s="27" t="inlineStr"/>
      <c r="X3" s="27" t="inlineStr">
        <is>
          <t>P0-1 FIXED in hardening</t>
        </is>
      </c>
    </row>
    <row r="4">
      <c r="A4" s="29" t="inlineStr">
        <is>
          <t>BUG-P0-02</t>
        </is>
      </c>
      <c r="B4" s="29" t="inlineStr">
        <is>
          <t>invoice.payment_failed wiped credits to 50</t>
        </is>
      </c>
      <c r="C4" s="29" t="inlineStr">
        <is>
          <t>Absolute credits overwrite destroyed purchased packs</t>
        </is>
      </c>
      <c r="D4" s="29" t="inlineStr">
        <is>
          <t>Billing &amp; Credits</t>
        </is>
      </c>
      <c r="E4" s="29" t="inlineStr">
        <is>
          <t>Stripe checkout + webhooks</t>
        </is>
      </c>
      <c r="F4" s="29" t="inlineStr">
        <is>
          <t>Staging</t>
        </is>
      </c>
      <c r="G4" s="29" t="inlineStr">
        <is>
          <t>N/A</t>
        </is>
      </c>
      <c r="H4" s="29" t="inlineStr">
        <is>
          <t>Desktop</t>
        </is>
      </c>
      <c r="I4" s="29" t="inlineStr">
        <is>
          <t>Windows</t>
        </is>
      </c>
      <c r="J4" s="29" t="inlineStr">
        <is>
          <t>Critical</t>
        </is>
      </c>
      <c r="K4" s="29" t="inlineStr">
        <is>
          <t>Critical</t>
        </is>
      </c>
      <c r="L4" s="29" t="inlineStr">
        <is>
          <t>Closed</t>
        </is>
      </c>
      <c r="M4" s="29" t="inlineStr">
        <is>
          <t>Billing</t>
        </is>
      </c>
      <c r="N4" s="29" t="inlineStr">
        <is>
          <t>Shreya Patil</t>
        </is>
      </c>
      <c r="O4" s="30" t="n">
        <v>46212</v>
      </c>
      <c r="P4" s="30" t="n">
        <v>46230</v>
      </c>
      <c r="Q4" s="30" t="n">
        <v>46231</v>
      </c>
      <c r="R4" s="29" t="inlineStr">
        <is>
          <t>1.0.0</t>
        </is>
      </c>
      <c r="S4" s="29" t="inlineStr">
        <is>
          <t>Sprint 26</t>
        </is>
      </c>
      <c r="T4" s="29" t="inlineStr">
        <is>
          <t>Logic Bug</t>
        </is>
      </c>
      <c r="U4" s="29" t="inlineStr">
        <is>
          <t>Stop writing credits on payment_failed</t>
        </is>
      </c>
      <c r="V4" s="29" t="inlineStr"/>
      <c r="W4" s="29" t="inlineStr"/>
      <c r="X4" s="29" t="inlineStr">
        <is>
          <t>P0-2 FIXED</t>
        </is>
      </c>
    </row>
    <row r="5">
      <c r="A5" s="27" t="inlineStr">
        <is>
          <t>BUG-P0-03</t>
        </is>
      </c>
      <c r="B5" s="27" t="inlineStr">
        <is>
          <t>Server plan gating was a no-op</t>
        </is>
      </c>
      <c r="C5" s="27" t="inlineStr">
        <is>
          <t>starter rank 0 = free; requirePlan starter never blocked</t>
        </is>
      </c>
      <c r="D5" s="27" t="inlineStr">
        <is>
          <t>Billing &amp; Credits</t>
        </is>
      </c>
      <c r="E5" s="27" t="inlineStr">
        <is>
          <t>Plan gating enforcement</t>
        </is>
      </c>
      <c r="F5" s="27" t="inlineStr">
        <is>
          <t>Staging</t>
        </is>
      </c>
      <c r="G5" s="27" t="inlineStr">
        <is>
          <t>Chrome</t>
        </is>
      </c>
      <c r="H5" s="27" t="inlineStr">
        <is>
          <t>Desktop</t>
        </is>
      </c>
      <c r="I5" s="27" t="inlineStr">
        <is>
          <t>Windows</t>
        </is>
      </c>
      <c r="J5" s="27" t="inlineStr">
        <is>
          <t>Critical</t>
        </is>
      </c>
      <c r="K5" s="27" t="inlineStr">
        <is>
          <t>Critical</t>
        </is>
      </c>
      <c r="L5" s="27" t="inlineStr">
        <is>
          <t>Closed</t>
        </is>
      </c>
      <c r="M5" s="27" t="inlineStr">
        <is>
          <t>Billing</t>
        </is>
      </c>
      <c r="N5" s="27" t="inlineStr">
        <is>
          <t>Shreya Patil</t>
        </is>
      </c>
      <c r="O5" s="28" t="n">
        <v>46212</v>
      </c>
      <c r="P5" s="28" t="n">
        <v>46230</v>
      </c>
      <c r="Q5" s="28" t="n">
        <v>46231</v>
      </c>
      <c r="R5" s="27" t="inlineStr">
        <is>
          <t>1.0.0</t>
        </is>
      </c>
      <c r="S5" s="27" t="inlineStr">
        <is>
          <t>Sprint 26</t>
        </is>
      </c>
      <c r="T5" s="27" t="inlineStr">
        <is>
          <t>Logic Bug</t>
        </is>
      </c>
      <c r="U5" s="27" t="inlineStr">
        <is>
          <t>Remap starter→pro; rebuild CAPABILITY_MIN_RANK</t>
        </is>
      </c>
      <c r="V5" s="27" t="inlineStr"/>
      <c r="W5" s="27" t="inlineStr"/>
      <c r="X5" s="27" t="inlineStr">
        <is>
          <t>P0-3 FIXED</t>
        </is>
      </c>
    </row>
    <row r="6">
      <c r="A6" s="29" t="inlineStr">
        <is>
          <t>BUG-P0-04</t>
        </is>
      </c>
      <c r="B6" s="29" t="inlineStr">
        <is>
          <t>AI parse endpoints free forever</t>
        </is>
      </c>
      <c r="C6" s="29" t="inlineStr">
        <is>
          <t>parse-resume/gap-analysis/parse-document never deducted</t>
        </is>
      </c>
      <c r="D6" s="29" t="inlineStr">
        <is>
          <t>Documents &amp; Resumes</t>
        </is>
      </c>
      <c r="E6" s="29" t="inlineStr">
        <is>
          <t>Resume upload + AI parse</t>
        </is>
      </c>
      <c r="F6" s="29" t="inlineStr">
        <is>
          <t>Staging</t>
        </is>
      </c>
      <c r="G6" s="29" t="inlineStr">
        <is>
          <t>Chrome</t>
        </is>
      </c>
      <c r="H6" s="29" t="inlineStr">
        <is>
          <t>Desktop</t>
        </is>
      </c>
      <c r="I6" s="29" t="inlineStr">
        <is>
          <t>Windows</t>
        </is>
      </c>
      <c r="J6" s="29" t="inlineStr">
        <is>
          <t>Critical</t>
        </is>
      </c>
      <c r="K6" s="29" t="inlineStr">
        <is>
          <t>Critical</t>
        </is>
      </c>
      <c r="L6" s="29" t="inlineStr">
        <is>
          <t>Closed</t>
        </is>
      </c>
      <c r="M6" s="29" t="inlineStr">
        <is>
          <t>Docs</t>
        </is>
      </c>
      <c r="N6" s="29" t="inlineStr">
        <is>
          <t>Shreya Patil</t>
        </is>
      </c>
      <c r="O6" s="30" t="n">
        <v>46212</v>
      </c>
      <c r="P6" s="30" t="n">
        <v>46230</v>
      </c>
      <c r="Q6" s="30" t="n">
        <v>46231</v>
      </c>
      <c r="R6" s="29" t="inlineStr">
        <is>
          <t>1.0.0</t>
        </is>
      </c>
      <c r="S6" s="29" t="inlineStr">
        <is>
          <t>Sprint 26</t>
        </is>
      </c>
      <c r="T6" s="29" t="inlineStr">
        <is>
          <t>Logic Bug</t>
        </is>
      </c>
      <c r="U6" s="29" t="inlineStr">
        <is>
          <t>deductCreditsAtomic + free first onboarding</t>
        </is>
      </c>
      <c r="V6" s="29" t="inlineStr"/>
      <c r="W6" s="29" t="inlineStr"/>
      <c r="X6" s="29" t="inlineStr">
        <is>
          <t>P0-4 FIXED</t>
        </is>
      </c>
    </row>
    <row r="7">
      <c r="A7" s="27" t="inlineStr">
        <is>
          <t>BUG-P0-05</t>
        </is>
      </c>
      <c r="B7" s="27" t="inlineStr">
        <is>
          <t>.env.production committed + release-new unignored</t>
        </is>
      </c>
      <c r="C7" s="27" t="inlineStr">
        <is>
          <t>Secrets/artifacts exposure risk</t>
        </is>
      </c>
      <c r="D7" s="27" t="inlineStr">
        <is>
          <t>Security &amp; Platform</t>
        </is>
      </c>
      <c r="E7" s="27" t="inlineStr">
        <is>
          <t>CI validate-env</t>
        </is>
      </c>
      <c r="F7" s="27" t="inlineStr">
        <is>
          <t>Production</t>
        </is>
      </c>
      <c r="G7" s="27" t="inlineStr">
        <is>
          <t>N/A</t>
        </is>
      </c>
      <c r="H7" s="27" t="inlineStr">
        <is>
          <t>Desktop</t>
        </is>
      </c>
      <c r="I7" s="27" t="inlineStr">
        <is>
          <t>Windows</t>
        </is>
      </c>
      <c r="J7" s="27" t="inlineStr">
        <is>
          <t>Critical</t>
        </is>
      </c>
      <c r="K7" s="27" t="inlineStr">
        <is>
          <t>Critical</t>
        </is>
      </c>
      <c r="L7" s="27" t="inlineStr">
        <is>
          <t>Closed</t>
        </is>
      </c>
      <c r="M7" s="27" t="inlineStr">
        <is>
          <t>Platform</t>
        </is>
      </c>
      <c r="N7" s="27" t="inlineStr">
        <is>
          <t>Shreya Patil</t>
        </is>
      </c>
      <c r="O7" s="28" t="n">
        <v>46212</v>
      </c>
      <c r="P7" s="28" t="n">
        <v>46230</v>
      </c>
      <c r="Q7" s="27" t="inlineStr"/>
      <c r="R7" s="27" t="inlineStr">
        <is>
          <t>1.0.0</t>
        </is>
      </c>
      <c r="S7" s="27" t="inlineStr">
        <is>
          <t>Sprint 26</t>
        </is>
      </c>
      <c r="T7" s="27" t="inlineStr">
        <is>
          <t>Config/Env</t>
        </is>
      </c>
      <c r="U7" s="27" t="inlineStr">
        <is>
          <t>git rm --cached; gitignore; example file</t>
        </is>
      </c>
      <c r="V7" s="27" t="inlineStr"/>
      <c r="W7" s="27" t="inlineStr"/>
      <c r="X7" s="27" t="inlineStr">
        <is>
          <t>Rotate anon key still OPS</t>
        </is>
      </c>
    </row>
    <row r="8">
      <c r="A8" s="29" t="inlineStr">
        <is>
          <t>BUG-P0-06</t>
        </is>
      </c>
      <c r="B8" s="29" t="inlineStr">
        <is>
          <t>Admin revenue treated credits as money</t>
        </is>
      </c>
      <c r="C8" s="29" t="inlineStr">
        <is>
          <t>monthlyRevenueByPlan summed credit_transactions</t>
        </is>
      </c>
      <c r="D8" s="29" t="inlineStr">
        <is>
          <t>Admin Portal</t>
        </is>
      </c>
      <c r="E8" s="29" t="inlineStr">
        <is>
          <t>Admin revenue</t>
        </is>
      </c>
      <c r="F8" s="29" t="inlineStr">
        <is>
          <t>Staging</t>
        </is>
      </c>
      <c r="G8" s="29" t="inlineStr">
        <is>
          <t>Chrome</t>
        </is>
      </c>
      <c r="H8" s="29" t="inlineStr">
        <is>
          <t>Desktop</t>
        </is>
      </c>
      <c r="I8" s="29" t="inlineStr">
        <is>
          <t>Windows</t>
        </is>
      </c>
      <c r="J8" s="29" t="inlineStr">
        <is>
          <t>Critical</t>
        </is>
      </c>
      <c r="K8" s="29" t="inlineStr">
        <is>
          <t>Critical</t>
        </is>
      </c>
      <c r="L8" s="29" t="inlineStr">
        <is>
          <t>Closed</t>
        </is>
      </c>
      <c r="M8" s="29" t="inlineStr">
        <is>
          <t>Admin</t>
        </is>
      </c>
      <c r="N8" s="29" t="inlineStr">
        <is>
          <t>Raj Balani</t>
        </is>
      </c>
      <c r="O8" s="30" t="n">
        <v>46212</v>
      </c>
      <c r="P8" s="30" t="n">
        <v>46230</v>
      </c>
      <c r="Q8" s="30" t="n">
        <v>46231</v>
      </c>
      <c r="R8" s="29" t="inlineStr">
        <is>
          <t>1.0.0</t>
        </is>
      </c>
      <c r="S8" s="29" t="inlineStr">
        <is>
          <t>Sprint 26</t>
        </is>
      </c>
      <c r="T8" s="29" t="inlineStr">
        <is>
          <t>Logic Bug</t>
        </is>
      </c>
      <c r="U8" s="29" t="inlineStr">
        <is>
          <t>Subscriptions x prices + INR separate</t>
        </is>
      </c>
      <c r="V8" s="29" t="inlineStr"/>
      <c r="W8" s="29" t="inlineStr"/>
      <c r="X8" s="29" t="inlineStr">
        <is>
          <t>P0-6 FIXED</t>
        </is>
      </c>
    </row>
    <row r="9">
      <c r="A9" s="27" t="inlineStr">
        <is>
          <t>BUG-P1-01</t>
        </is>
      </c>
      <c r="B9" s="27" t="inlineStr">
        <is>
          <t>Interview dates Invalid Date</t>
        </is>
      </c>
      <c r="C9" s="27" t="inlineStr">
        <is>
          <t>UI read scheduled_at; store has next_round.scheduled_at</t>
        </is>
      </c>
      <c r="D9" s="27" t="inlineStr">
        <is>
          <t>Interviews &amp; Calendar</t>
        </is>
      </c>
      <c r="E9" s="27" t="inlineStr">
        <is>
          <t>Manual interview CRUD</t>
        </is>
      </c>
      <c r="F9" s="27" t="inlineStr">
        <is>
          <t>Staging</t>
        </is>
      </c>
      <c r="G9" s="27" t="inlineStr">
        <is>
          <t>Chrome</t>
        </is>
      </c>
      <c r="H9" s="27" t="inlineStr">
        <is>
          <t>Desktop</t>
        </is>
      </c>
      <c r="I9" s="27" t="inlineStr">
        <is>
          <t>Windows</t>
        </is>
      </c>
      <c r="J9" s="27" t="inlineStr">
        <is>
          <t>High</t>
        </is>
      </c>
      <c r="K9" s="27" t="inlineStr">
        <is>
          <t>High</t>
        </is>
      </c>
      <c r="L9" s="27" t="inlineStr">
        <is>
          <t>Closed</t>
        </is>
      </c>
      <c r="M9" s="27" t="inlineStr">
        <is>
          <t>Scheduling</t>
        </is>
      </c>
      <c r="N9" s="27" t="inlineStr">
        <is>
          <t>Raj Balani</t>
        </is>
      </c>
      <c r="O9" s="28" t="n">
        <v>46217</v>
      </c>
      <c r="P9" s="28" t="n">
        <v>46230</v>
      </c>
      <c r="Q9" s="28" t="n">
        <v>46231</v>
      </c>
      <c r="R9" s="27" t="inlineStr">
        <is>
          <t>1.0.0</t>
        </is>
      </c>
      <c r="S9" s="27" t="inlineStr">
        <is>
          <t>Sprint 26</t>
        </is>
      </c>
      <c r="T9" s="27" t="inlineStr">
        <is>
          <t>Logic Bug</t>
        </is>
      </c>
      <c r="U9" s="27" t="inlineStr">
        <is>
          <t>roundHelpers next_round</t>
        </is>
      </c>
      <c r="V9" s="27" t="inlineStr"/>
      <c r="W9" s="27" t="inlineStr"/>
      <c r="X9" s="27" t="inlineStr">
        <is>
          <t>P1-1 FIXED</t>
        </is>
      </c>
    </row>
    <row r="10">
      <c r="A10" s="29" t="inlineStr">
        <is>
          <t>BUG-P1-02</t>
        </is>
      </c>
      <c r="B10" s="29" t="inlineStr">
        <is>
          <t>Profile streak always 0</t>
        </is>
      </c>
      <c r="C10" s="29" t="inlineStr">
        <is>
          <t>Read streak_current; column is streak_days</t>
        </is>
      </c>
      <c r="D10" s="29" t="inlineStr">
        <is>
          <t>Notifications &amp; Profile</t>
        </is>
      </c>
      <c r="E10" s="29" t="inlineStr">
        <is>
          <t>Profile page display</t>
        </is>
      </c>
      <c r="F10" s="29" t="inlineStr">
        <is>
          <t>Staging</t>
        </is>
      </c>
      <c r="G10" s="29" t="inlineStr">
        <is>
          <t>Chrome</t>
        </is>
      </c>
      <c r="H10" s="29" t="inlineStr">
        <is>
          <t>Desktop</t>
        </is>
      </c>
      <c r="I10" s="29" t="inlineStr">
        <is>
          <t>Windows</t>
        </is>
      </c>
      <c r="J10" s="29" t="inlineStr">
        <is>
          <t>High</t>
        </is>
      </c>
      <c r="K10" s="29" t="inlineStr">
        <is>
          <t>High</t>
        </is>
      </c>
      <c r="L10" s="29" t="inlineStr">
        <is>
          <t>Closed</t>
        </is>
      </c>
      <c r="M10" s="29" t="inlineStr">
        <is>
          <t>Growth</t>
        </is>
      </c>
      <c r="N10" s="29" t="inlineStr">
        <is>
          <t>Raj Balani</t>
        </is>
      </c>
      <c r="O10" s="30" t="n">
        <v>46217</v>
      </c>
      <c r="P10" s="30" t="n">
        <v>46230</v>
      </c>
      <c r="Q10" s="30" t="n">
        <v>46231</v>
      </c>
      <c r="R10" s="29" t="inlineStr">
        <is>
          <t>1.0.0</t>
        </is>
      </c>
      <c r="S10" s="29" t="inlineStr">
        <is>
          <t>Sprint 26</t>
        </is>
      </c>
      <c r="T10" s="29" t="inlineStr">
        <is>
          <t>Logic Bug</t>
        </is>
      </c>
      <c r="U10" s="29" t="inlineStr">
        <is>
          <t>Use streak_days</t>
        </is>
      </c>
      <c r="V10" s="29" t="inlineStr"/>
      <c r="W10" s="29" t="inlineStr"/>
      <c r="X10" s="29" t="inlineStr">
        <is>
          <t>P1-2 FIXED</t>
        </is>
      </c>
    </row>
    <row r="11">
      <c r="A11" s="27" t="inlineStr">
        <is>
          <t>BUG-P1-03</t>
        </is>
      </c>
      <c r="B11" s="27" t="inlineStr">
        <is>
          <t>Profile badge count wrong</t>
        </is>
      </c>
      <c r="C11" s="27" t="inlineStr">
        <is>
          <t>Read profile.badges; badges in user_badges</t>
        </is>
      </c>
      <c r="D11" s="27" t="inlineStr">
        <is>
          <t>Notifications &amp; Profile</t>
        </is>
      </c>
      <c r="E11" s="27" t="inlineStr">
        <is>
          <t>Gamification XP/streak</t>
        </is>
      </c>
      <c r="F11" s="27" t="inlineStr">
        <is>
          <t>Staging</t>
        </is>
      </c>
      <c r="G11" s="27" t="inlineStr">
        <is>
          <t>Chrome</t>
        </is>
      </c>
      <c r="H11" s="27" t="inlineStr">
        <is>
          <t>Desktop</t>
        </is>
      </c>
      <c r="I11" s="27" t="inlineStr">
        <is>
          <t>Windows</t>
        </is>
      </c>
      <c r="J11" s="27" t="inlineStr">
        <is>
          <t>High</t>
        </is>
      </c>
      <c r="K11" s="27" t="inlineStr">
        <is>
          <t>Medium</t>
        </is>
      </c>
      <c r="L11" s="27" t="inlineStr">
        <is>
          <t>Closed</t>
        </is>
      </c>
      <c r="M11" s="27" t="inlineStr">
        <is>
          <t>Growth</t>
        </is>
      </c>
      <c r="N11" s="27" t="inlineStr">
        <is>
          <t>Raj Balani</t>
        </is>
      </c>
      <c r="O11" s="28" t="n">
        <v>46217</v>
      </c>
      <c r="P11" s="28" t="n">
        <v>46230</v>
      </c>
      <c r="Q11" s="28" t="n">
        <v>46231</v>
      </c>
      <c r="R11" s="27" t="inlineStr">
        <is>
          <t>1.0.0</t>
        </is>
      </c>
      <c r="S11" s="27" t="inlineStr">
        <is>
          <t>Sprint 26</t>
        </is>
      </c>
      <c r="T11" s="27" t="inlineStr">
        <is>
          <t>Logic Bug</t>
        </is>
      </c>
      <c r="U11" s="27" t="inlineStr">
        <is>
          <t>unlockedBadges from user_badges</t>
        </is>
      </c>
      <c r="V11" s="27" t="inlineStr"/>
      <c r="W11" s="27" t="inlineStr"/>
      <c r="X11" s="27" t="inlineStr">
        <is>
          <t>P1-3 FIXED</t>
        </is>
      </c>
    </row>
    <row r="12">
      <c r="A12" s="29" t="inlineStr">
        <is>
          <t>BUG-P1-04</t>
        </is>
      </c>
      <c r="B12" s="29" t="inlineStr">
        <is>
          <t>Blank page on unknown /app route</t>
        </is>
      </c>
      <c r="C12" s="29" t="inlineStr">
        <is>
          <t>No splat NotFound under AppShell</t>
        </is>
      </c>
      <c r="D12" s="29" t="inlineStr">
        <is>
          <t>Dashboard</t>
        </is>
      </c>
      <c r="E12" s="29" t="inlineStr">
        <is>
          <t>In-app 404 NotFound</t>
        </is>
      </c>
      <c r="F12" s="29" t="inlineStr">
        <is>
          <t>Staging</t>
        </is>
      </c>
      <c r="G12" s="29" t="inlineStr">
        <is>
          <t>Chrome</t>
        </is>
      </c>
      <c r="H12" s="29" t="inlineStr">
        <is>
          <t>Desktop</t>
        </is>
      </c>
      <c r="I12" s="29" t="inlineStr">
        <is>
          <t>Windows</t>
        </is>
      </c>
      <c r="J12" s="29" t="inlineStr">
        <is>
          <t>Medium</t>
        </is>
      </c>
      <c r="K12" s="29" t="inlineStr">
        <is>
          <t>High</t>
        </is>
      </c>
      <c r="L12" s="29" t="inlineStr">
        <is>
          <t>Closed</t>
        </is>
      </c>
      <c r="M12" s="29" t="inlineStr">
        <is>
          <t>Product</t>
        </is>
      </c>
      <c r="N12" s="29" t="inlineStr">
        <is>
          <t>Raj Balani</t>
        </is>
      </c>
      <c r="O12" s="30" t="n">
        <v>46217</v>
      </c>
      <c r="P12" s="30" t="n">
        <v>46230</v>
      </c>
      <c r="Q12" s="30" t="n">
        <v>46231</v>
      </c>
      <c r="R12" s="29" t="inlineStr">
        <is>
          <t>1.0.0</t>
        </is>
      </c>
      <c r="S12" s="29" t="inlineStr">
        <is>
          <t>Sprint 26</t>
        </is>
      </c>
      <c r="T12" s="29" t="inlineStr">
        <is>
          <t>Logic Bug</t>
        </is>
      </c>
      <c r="U12" s="29" t="inlineStr">
        <is>
          <t>path * → NotFound</t>
        </is>
      </c>
      <c r="V12" s="29" t="inlineStr"/>
      <c r="W12" s="29" t="inlineStr"/>
      <c r="X12" s="29" t="inlineStr">
        <is>
          <t>P1-4 FIXED</t>
        </is>
      </c>
    </row>
    <row r="13">
      <c r="A13" s="27" t="inlineStr">
        <is>
          <t>BUG-P1-05</t>
        </is>
      </c>
      <c r="B13" s="27" t="inlineStr">
        <is>
          <t>Admin exam filter returns nothing</t>
        </is>
      </c>
      <c r="C13" s="27" t="inlineStr">
        <is>
          <t>JEE_MAIN vs JEE Main mismatch</t>
        </is>
      </c>
      <c r="D13" s="27" t="inlineStr">
        <is>
          <t>Admin Portal</t>
        </is>
      </c>
      <c r="E13" s="27" t="inlineStr">
        <is>
          <t>Admin question editor</t>
        </is>
      </c>
      <c r="F13" s="27" t="inlineStr">
        <is>
          <t>Staging</t>
        </is>
      </c>
      <c r="G13" s="27" t="inlineStr">
        <is>
          <t>Chrome</t>
        </is>
      </c>
      <c r="H13" s="27" t="inlineStr">
        <is>
          <t>Desktop</t>
        </is>
      </c>
      <c r="I13" s="27" t="inlineStr">
        <is>
          <t>Windows</t>
        </is>
      </c>
      <c r="J13" s="27" t="inlineStr">
        <is>
          <t>High</t>
        </is>
      </c>
      <c r="K13" s="27" t="inlineStr">
        <is>
          <t>High</t>
        </is>
      </c>
      <c r="L13" s="27" t="inlineStr">
        <is>
          <t>Closed</t>
        </is>
      </c>
      <c r="M13" s="27" t="inlineStr">
        <is>
          <t>Admin</t>
        </is>
      </c>
      <c r="N13" s="27" t="inlineStr">
        <is>
          <t>Raj Balani</t>
        </is>
      </c>
      <c r="O13" s="28" t="n">
        <v>46217</v>
      </c>
      <c r="P13" s="28" t="n">
        <v>46230</v>
      </c>
      <c r="Q13" s="28" t="n">
        <v>46231</v>
      </c>
      <c r="R13" s="27" t="inlineStr">
        <is>
          <t>1.0.0</t>
        </is>
      </c>
      <c r="S13" s="27" t="inlineStr">
        <is>
          <t>Sprint 26</t>
        </is>
      </c>
      <c r="T13" s="27" t="inlineStr">
        <is>
          <t>Logic Bug</t>
        </is>
      </c>
      <c r="U13" s="27" t="inlineStr">
        <is>
          <t>Display string map</t>
        </is>
      </c>
      <c r="V13" s="27" t="inlineStr"/>
      <c r="W13" s="27" t="inlineStr"/>
      <c r="X13" s="27" t="inlineStr">
        <is>
          <t>P1-5 FIXED</t>
        </is>
      </c>
    </row>
    <row r="14">
      <c r="A14" s="29" t="inlineStr">
        <is>
          <t>BUG-P1-06</t>
        </is>
      </c>
      <c r="B14" s="29" t="inlineStr">
        <is>
          <t>Hotkey Ctrl+Shift+C collision</t>
        </is>
      </c>
      <c r="C14" s="29" t="inlineStr">
        <is>
          <t>MockSession vs overlay capture</t>
        </is>
      </c>
      <c r="D14" s="29" t="inlineStr">
        <is>
          <t>Mock Interview</t>
        </is>
      </c>
      <c r="E14" s="29" t="inlineStr">
        <is>
          <t>Mock interview session</t>
        </is>
      </c>
      <c r="F14" s="29" t="inlineStr">
        <is>
          <t>Electron Dev</t>
        </is>
      </c>
      <c r="G14" s="29" t="inlineStr">
        <is>
          <t>Electron</t>
        </is>
      </c>
      <c r="H14" s="29" t="inlineStr">
        <is>
          <t>Laptop</t>
        </is>
      </c>
      <c r="I14" s="29" t="inlineStr">
        <is>
          <t>Windows</t>
        </is>
      </c>
      <c r="J14" s="29" t="inlineStr">
        <is>
          <t>High</t>
        </is>
      </c>
      <c r="K14" s="29" t="inlineStr">
        <is>
          <t>High</t>
        </is>
      </c>
      <c r="L14" s="29" t="inlineStr">
        <is>
          <t>Closed</t>
        </is>
      </c>
      <c r="M14" s="29" t="inlineStr">
        <is>
          <t>Desktop</t>
        </is>
      </c>
      <c r="N14" s="29" t="inlineStr">
        <is>
          <t>Shreya Patil</t>
        </is>
      </c>
      <c r="O14" s="30" t="n">
        <v>46217</v>
      </c>
      <c r="P14" s="30" t="n">
        <v>46230</v>
      </c>
      <c r="Q14" s="30" t="n">
        <v>46231</v>
      </c>
      <c r="R14" s="29" t="inlineStr">
        <is>
          <t>1.0.0</t>
        </is>
      </c>
      <c r="S14" s="29" t="inlineStr">
        <is>
          <t>Sprint 26</t>
        </is>
      </c>
      <c r="T14" s="29" t="inlineStr">
        <is>
          <t>Logic Bug</t>
        </is>
      </c>
      <c r="U14" s="29" t="inlineStr">
        <is>
          <t>Removed local MockSession binding</t>
        </is>
      </c>
      <c r="V14" s="29" t="inlineStr"/>
      <c r="W14" s="29" t="inlineStr"/>
      <c r="X14" s="29" t="inlineStr">
        <is>
          <t>P1-6 FIXED</t>
        </is>
      </c>
    </row>
    <row r="15">
      <c r="A15" s="27" t="inlineStr">
        <is>
          <t>BUG-P1-07</t>
        </is>
      </c>
      <c r="B15" s="27" t="inlineStr">
        <is>
          <t>Unscored dimensions show as 0</t>
        </is>
      </c>
      <c r="C15" s="27" t="inlineStr">
        <is>
          <t>Null rendered as confident zero</t>
        </is>
      </c>
      <c r="D15" s="27" t="inlineStr">
        <is>
          <t>Sessions &amp; Debriefs</t>
        </is>
      </c>
      <c r="E15" s="27" t="inlineStr">
        <is>
          <t>Session detail scores</t>
        </is>
      </c>
      <c r="F15" s="27" t="inlineStr">
        <is>
          <t>Staging</t>
        </is>
      </c>
      <c r="G15" s="27" t="inlineStr">
        <is>
          <t>Chrome</t>
        </is>
      </c>
      <c r="H15" s="27" t="inlineStr">
        <is>
          <t>Desktop</t>
        </is>
      </c>
      <c r="I15" s="27" t="inlineStr">
        <is>
          <t>Windows</t>
        </is>
      </c>
      <c r="J15" s="27" t="inlineStr">
        <is>
          <t>Medium</t>
        </is>
      </c>
      <c r="K15" s="27" t="inlineStr">
        <is>
          <t>Medium</t>
        </is>
      </c>
      <c r="L15" s="27" t="inlineStr">
        <is>
          <t>Closed</t>
        </is>
      </c>
      <c r="M15" s="27" t="inlineStr">
        <is>
          <t>Sessions</t>
        </is>
      </c>
      <c r="N15" s="27" t="inlineStr">
        <is>
          <t>Shreya Patil</t>
        </is>
      </c>
      <c r="O15" s="28" t="n">
        <v>46217</v>
      </c>
      <c r="P15" s="28" t="n">
        <v>46230</v>
      </c>
      <c r="Q15" s="28" t="n">
        <v>46231</v>
      </c>
      <c r="R15" s="27" t="inlineStr">
        <is>
          <t>1.0.0</t>
        </is>
      </c>
      <c r="S15" s="27" t="inlineStr">
        <is>
          <t>Sprint 26</t>
        </is>
      </c>
      <c r="T15" s="27" t="inlineStr">
        <is>
          <t>UI Regression</t>
        </is>
      </c>
      <c r="U15" s="27" t="inlineStr">
        <is>
          <t>Not scored label</t>
        </is>
      </c>
      <c r="V15" s="27" t="inlineStr"/>
      <c r="W15" s="27" t="inlineStr"/>
      <c r="X15" s="27" t="inlineStr">
        <is>
          <t>P1-7 FIXED</t>
        </is>
      </c>
    </row>
    <row r="16">
      <c r="A16" s="29" t="inlineStr">
        <is>
          <t>BUG-P1-08</t>
        </is>
      </c>
      <c r="B16" s="29" t="inlineStr">
        <is>
          <t>CI validate-env fails</t>
        </is>
      </c>
      <c r="C16" s="29" t="inlineStr">
        <is>
          <t>VITE_APP_ENV=test + ci-placeholder rejected</t>
        </is>
      </c>
      <c r="D16" s="29" t="inlineStr">
        <is>
          <t>Security &amp; Platform</t>
        </is>
      </c>
      <c r="E16" s="29" t="inlineStr">
        <is>
          <t>CI validate-env</t>
        </is>
      </c>
      <c r="F16" s="29" t="inlineStr">
        <is>
          <t>CI</t>
        </is>
      </c>
      <c r="G16" s="29" t="inlineStr">
        <is>
          <t>N/A</t>
        </is>
      </c>
      <c r="H16" s="29" t="inlineStr">
        <is>
          <t>Desktop</t>
        </is>
      </c>
      <c r="I16" s="29" t="inlineStr">
        <is>
          <t>Linux</t>
        </is>
      </c>
      <c r="J16" s="29" t="inlineStr">
        <is>
          <t>High</t>
        </is>
      </c>
      <c r="K16" s="29" t="inlineStr">
        <is>
          <t>High</t>
        </is>
      </c>
      <c r="L16" s="29" t="inlineStr">
        <is>
          <t>Closed</t>
        </is>
      </c>
      <c r="M16" s="29" t="inlineStr">
        <is>
          <t>Platform</t>
        </is>
      </c>
      <c r="N16" s="29" t="inlineStr">
        <is>
          <t>Shreya Patil</t>
        </is>
      </c>
      <c r="O16" s="30" t="n">
        <v>46217</v>
      </c>
      <c r="P16" s="30" t="n">
        <v>46230</v>
      </c>
      <c r="Q16" s="29" t="inlineStr"/>
      <c r="R16" s="29" t="inlineStr">
        <is>
          <t>1.0.0</t>
        </is>
      </c>
      <c r="S16" s="29" t="inlineStr">
        <is>
          <t>Sprint 26</t>
        </is>
      </c>
      <c r="T16" s="29" t="inlineStr">
        <is>
          <t>Config/Env</t>
        </is>
      </c>
      <c r="U16" s="29" t="inlineStr">
        <is>
          <t>development + allowlist placeholders</t>
        </is>
      </c>
      <c r="V16" s="29" t="inlineStr"/>
      <c r="W16" s="29" t="inlineStr"/>
      <c r="X16" s="29" t="inlineStr">
        <is>
          <t>P1-8 FIXED</t>
        </is>
      </c>
    </row>
    <row r="17">
      <c r="A17" s="27" t="inlineStr">
        <is>
          <t>BUG-P1-09</t>
        </is>
      </c>
      <c r="B17" s="27" t="inlineStr">
        <is>
          <t>Overlay min size forced 800x600</t>
        </is>
      </c>
      <c r="C17" s="27" t="inlineStr">
        <is>
          <t>Clamped above design 360x320</t>
        </is>
      </c>
      <c r="D17" s="27" t="inlineStr">
        <is>
          <t>Electron Desktop Overlay</t>
        </is>
      </c>
      <c r="E17" s="27" t="inlineStr">
        <is>
          <t>Window min size clamp</t>
        </is>
      </c>
      <c r="F17" s="27" t="inlineStr">
        <is>
          <t>Electron Dev</t>
        </is>
      </c>
      <c r="G17" s="27" t="inlineStr">
        <is>
          <t>Electron</t>
        </is>
      </c>
      <c r="H17" s="27" t="inlineStr">
        <is>
          <t>Desktop</t>
        </is>
      </c>
      <c r="I17" s="27" t="inlineStr">
        <is>
          <t>Windows</t>
        </is>
      </c>
      <c r="J17" s="27" t="inlineStr">
        <is>
          <t>Medium</t>
        </is>
      </c>
      <c r="K17" s="27" t="inlineStr">
        <is>
          <t>Medium</t>
        </is>
      </c>
      <c r="L17" s="27" t="inlineStr">
        <is>
          <t>Closed</t>
        </is>
      </c>
      <c r="M17" s="27" t="inlineStr">
        <is>
          <t>Desktop</t>
        </is>
      </c>
      <c r="N17" s="27" t="inlineStr">
        <is>
          <t>Shreya Patil</t>
        </is>
      </c>
      <c r="O17" s="28" t="n">
        <v>46217</v>
      </c>
      <c r="P17" s="28" t="n">
        <v>46230</v>
      </c>
      <c r="Q17" s="28" t="n">
        <v>46231</v>
      </c>
      <c r="R17" s="27" t="inlineStr">
        <is>
          <t>1.0.0</t>
        </is>
      </c>
      <c r="S17" s="27" t="inlineStr">
        <is>
          <t>Sprint 26</t>
        </is>
      </c>
      <c r="T17" s="27" t="inlineStr">
        <is>
          <t>Logic Bug</t>
        </is>
      </c>
      <c r="U17" s="27" t="inlineStr">
        <is>
          <t>Min 360x320</t>
        </is>
      </c>
      <c r="V17" s="27" t="inlineStr"/>
      <c r="W17" s="27" t="inlineStr"/>
      <c r="X17" s="27" t="inlineStr">
        <is>
          <t>P1-9 FIXED</t>
        </is>
      </c>
    </row>
    <row r="18">
      <c r="A18" s="29" t="inlineStr">
        <is>
          <t>BUG-P1-10</t>
        </is>
      </c>
      <c r="B18" s="29" t="inlineStr">
        <is>
          <t>Electron release glob mismatch</t>
        </is>
      </c>
      <c r="C18" s="29" t="inlineStr">
        <is>
          <t>Uploads release/*.exe builds in release-new</t>
        </is>
      </c>
      <c r="D18" s="29" t="inlineStr">
        <is>
          <t>Electron Desktop Overlay</t>
        </is>
      </c>
      <c r="E18" s="29" t="inlineStr">
        <is>
          <t>Auto-update</t>
        </is>
      </c>
      <c r="F18" s="29" t="inlineStr">
        <is>
          <t>CI</t>
        </is>
      </c>
      <c r="G18" s="29" t="inlineStr">
        <is>
          <t>N/A</t>
        </is>
      </c>
      <c r="H18" s="29" t="inlineStr">
        <is>
          <t>Desktop</t>
        </is>
      </c>
      <c r="I18" s="29" t="inlineStr">
        <is>
          <t>Windows</t>
        </is>
      </c>
      <c r="J18" s="29" t="inlineStr">
        <is>
          <t>Medium</t>
        </is>
      </c>
      <c r="K18" s="29" t="inlineStr">
        <is>
          <t>High</t>
        </is>
      </c>
      <c r="L18" s="29" t="inlineStr">
        <is>
          <t>Closed</t>
        </is>
      </c>
      <c r="M18" s="29" t="inlineStr">
        <is>
          <t>Desktop</t>
        </is>
      </c>
      <c r="N18" s="29" t="inlineStr">
        <is>
          <t>Shreya Patil</t>
        </is>
      </c>
      <c r="O18" s="30" t="n">
        <v>46217</v>
      </c>
      <c r="P18" s="30" t="n">
        <v>46230</v>
      </c>
      <c r="Q18" s="29" t="inlineStr"/>
      <c r="R18" s="29" t="inlineStr">
        <is>
          <t>1.0.0</t>
        </is>
      </c>
      <c r="S18" s="29" t="inlineStr">
        <is>
          <t>Sprint 26</t>
        </is>
      </c>
      <c r="T18" s="29" t="inlineStr">
        <is>
          <t>Config/Env</t>
        </is>
      </c>
      <c r="U18" s="29" t="inlineStr">
        <is>
          <t>directories.output=release; gitignore release-new</t>
        </is>
      </c>
      <c r="V18" s="29" t="inlineStr"/>
      <c r="W18" s="29" t="inlineStr"/>
      <c r="X18" s="29" t="inlineStr">
        <is>
          <t>P1-10</t>
        </is>
      </c>
    </row>
    <row r="19">
      <c r="A19" s="27" t="inlineStr">
        <is>
          <t>BUG-P2-01</t>
        </is>
      </c>
      <c r="B19" s="27" t="inlineStr">
        <is>
          <t>Warm-up copy said 2 ran 10</t>
        </is>
      </c>
      <c r="C19" s="27" t="inlineStr">
        <is>
          <t>Copy vs WARMUP_MAX mismatch</t>
        </is>
      </c>
      <c r="D19" s="27" t="inlineStr">
        <is>
          <t>Mock Interview</t>
        </is>
      </c>
      <c r="E19" s="27" t="inlineStr">
        <is>
          <t>Mock warm-up</t>
        </is>
      </c>
      <c r="F19" s="27" t="inlineStr">
        <is>
          <t>Staging</t>
        </is>
      </c>
      <c r="G19" s="27" t="inlineStr">
        <is>
          <t>Chrome</t>
        </is>
      </c>
      <c r="H19" s="27" t="inlineStr">
        <is>
          <t>Desktop</t>
        </is>
      </c>
      <c r="I19" s="27" t="inlineStr">
        <is>
          <t>Windows</t>
        </is>
      </c>
      <c r="J19" s="27" t="inlineStr">
        <is>
          <t>Low</t>
        </is>
      </c>
      <c r="K19" s="27" t="inlineStr">
        <is>
          <t>Medium</t>
        </is>
      </c>
      <c r="L19" s="27" t="inlineStr">
        <is>
          <t>Closed</t>
        </is>
      </c>
      <c r="M19" s="27" t="inlineStr">
        <is>
          <t>Live Coach</t>
        </is>
      </c>
      <c r="N19" s="27" t="inlineStr">
        <is>
          <t>Shreya Patil</t>
        </is>
      </c>
      <c r="O19" s="28" t="n">
        <v>46220</v>
      </c>
      <c r="P19" s="28" t="n">
        <v>46230</v>
      </c>
      <c r="Q19" s="28" t="n">
        <v>46231</v>
      </c>
      <c r="R19" s="27" t="inlineStr">
        <is>
          <t>1.0.0</t>
        </is>
      </c>
      <c r="S19" s="27" t="inlineStr">
        <is>
          <t>Sprint 26</t>
        </is>
      </c>
      <c r="T19" s="27" t="inlineStr">
        <is>
          <t>UI Regression</t>
        </is>
      </c>
      <c r="U19" s="27" t="inlineStr">
        <is>
          <t>Copy reads WARMUP_MAX</t>
        </is>
      </c>
      <c r="V19" s="27" t="inlineStr"/>
      <c r="W19" s="27" t="inlineStr"/>
      <c r="X19" s="27" t="inlineStr">
        <is>
          <t>P2-1 FIXED</t>
        </is>
      </c>
    </row>
    <row r="20">
      <c r="A20" s="29" t="inlineStr">
        <is>
          <t>BUG-P2-02</t>
        </is>
      </c>
      <c r="B20" s="29" t="inlineStr">
        <is>
          <t>MockTestHub total questions wrong</t>
        </is>
      </c>
      <c r="C20" s="29" t="inlineStr">
        <is>
          <t>Counted user uploads as bank size</t>
        </is>
      </c>
      <c r="D20" s="29" t="inlineStr">
        <is>
          <t>Gov Exam Mock Tests</t>
        </is>
      </c>
      <c r="E20" s="29" t="inlineStr">
        <is>
          <t>Question bank content</t>
        </is>
      </c>
      <c r="F20" s="29" t="inlineStr">
        <is>
          <t>Staging</t>
        </is>
      </c>
      <c r="G20" s="29" t="inlineStr">
        <is>
          <t>Chrome</t>
        </is>
      </c>
      <c r="H20" s="29" t="inlineStr">
        <is>
          <t>Desktop</t>
        </is>
      </c>
      <c r="I20" s="29" t="inlineStr">
        <is>
          <t>Windows</t>
        </is>
      </c>
      <c r="J20" s="29" t="inlineStr">
        <is>
          <t>Medium</t>
        </is>
      </c>
      <c r="K20" s="29" t="inlineStr">
        <is>
          <t>Medium</t>
        </is>
      </c>
      <c r="L20" s="29" t="inlineStr">
        <is>
          <t>Closed</t>
        </is>
      </c>
      <c r="M20" s="29" t="inlineStr">
        <is>
          <t>GovExams</t>
        </is>
      </c>
      <c r="N20" s="29" t="inlineStr">
        <is>
          <t>Raj Balani</t>
        </is>
      </c>
      <c r="O20" s="30" t="n">
        <v>46220</v>
      </c>
      <c r="P20" s="30" t="n">
        <v>46230</v>
      </c>
      <c r="Q20" s="29" t="inlineStr"/>
      <c r="R20" s="29" t="inlineStr">
        <is>
          <t>1.0.0</t>
        </is>
      </c>
      <c r="S20" s="29" t="inlineStr">
        <is>
          <t>Sprint 26</t>
        </is>
      </c>
      <c r="T20" s="29" t="inlineStr">
        <is>
          <t>Logic Bug</t>
        </is>
      </c>
      <c r="U20" s="29" t="inlineStr">
        <is>
          <t>Label My uploads</t>
        </is>
      </c>
      <c r="V20" s="29" t="inlineStr"/>
      <c r="W20" s="29" t="inlineStr"/>
      <c r="X20" s="29" t="inlineStr">
        <is>
          <t>P2-2 FIXED</t>
        </is>
      </c>
    </row>
    <row r="21">
      <c r="A21" s="27" t="inlineStr">
        <is>
          <t>BUG-P2-03</t>
        </is>
      </c>
      <c r="B21" s="27" t="inlineStr">
        <is>
          <t>Predicted percentile misleading</t>
        </is>
      </c>
      <c r="C21" s="27" t="inlineStr">
        <is>
          <t>Formula not cohort rank</t>
        </is>
      </c>
      <c r="D21" s="27" t="inlineStr">
        <is>
          <t>Gov Exam Mock Tests</t>
        </is>
      </c>
      <c r="E21" s="27" t="inlineStr">
        <is>
          <t>Mock test engine</t>
        </is>
      </c>
      <c r="F21" s="27" t="inlineStr">
        <is>
          <t>Staging</t>
        </is>
      </c>
      <c r="G21" s="27" t="inlineStr">
        <is>
          <t>Chrome</t>
        </is>
      </c>
      <c r="H21" s="27" t="inlineStr">
        <is>
          <t>Desktop</t>
        </is>
      </c>
      <c r="I21" s="27" t="inlineStr">
        <is>
          <t>Windows</t>
        </is>
      </c>
      <c r="J21" s="27" t="inlineStr">
        <is>
          <t>Medium</t>
        </is>
      </c>
      <c r="K21" s="27" t="inlineStr">
        <is>
          <t>Medium</t>
        </is>
      </c>
      <c r="L21" s="27" t="inlineStr">
        <is>
          <t>Closed</t>
        </is>
      </c>
      <c r="M21" s="27" t="inlineStr">
        <is>
          <t>GovExams</t>
        </is>
      </c>
      <c r="N21" s="27" t="inlineStr">
        <is>
          <t>Raj Balani</t>
        </is>
      </c>
      <c r="O21" s="28" t="n">
        <v>46220</v>
      </c>
      <c r="P21" s="28" t="n">
        <v>46230</v>
      </c>
      <c r="Q21" s="27" t="inlineStr"/>
      <c r="R21" s="27" t="inlineStr">
        <is>
          <t>1.0.0</t>
        </is>
      </c>
      <c r="S21" s="27" t="inlineStr">
        <is>
          <t>Sprint 26</t>
        </is>
      </c>
      <c r="T21" s="27" t="inlineStr">
        <is>
          <t>Design Gap</t>
        </is>
      </c>
      <c r="U21" s="27" t="inlineStr">
        <is>
          <t>Relabeled estimated band</t>
        </is>
      </c>
      <c r="V21" s="27" t="inlineStr"/>
      <c r="W21" s="27" t="inlineStr"/>
      <c r="X21" s="27" t="inlineStr">
        <is>
          <t>P2-3 FIXED</t>
        </is>
      </c>
    </row>
    <row r="22">
      <c r="A22" s="29" t="inlineStr">
        <is>
          <t>BUG-P2-04</t>
        </is>
      </c>
      <c r="B22" s="29" t="inlineStr">
        <is>
          <t>Pricing showed Max as Custom</t>
        </is>
      </c>
      <c r="C22" s="29" t="inlineStr">
        <is>
          <t>Should show $79</t>
        </is>
      </c>
      <c r="D22" s="29" t="inlineStr">
        <is>
          <t>Marketing Site</t>
        </is>
      </c>
      <c r="E22" s="29" t="inlineStr">
        <is>
          <t>Landing + pricing pages</t>
        </is>
      </c>
      <c r="F22" s="29" t="inlineStr">
        <is>
          <t>Staging</t>
        </is>
      </c>
      <c r="G22" s="29" t="inlineStr">
        <is>
          <t>Chrome</t>
        </is>
      </c>
      <c r="H22" s="29" t="inlineStr">
        <is>
          <t>Desktop</t>
        </is>
      </c>
      <c r="I22" s="29" t="inlineStr">
        <is>
          <t>Windows</t>
        </is>
      </c>
      <c r="J22" s="29" t="inlineStr">
        <is>
          <t>High</t>
        </is>
      </c>
      <c r="K22" s="29" t="inlineStr">
        <is>
          <t>High</t>
        </is>
      </c>
      <c r="L22" s="29" t="inlineStr">
        <is>
          <t>Closed</t>
        </is>
      </c>
      <c r="M22" s="29" t="inlineStr">
        <is>
          <t>Growth</t>
        </is>
      </c>
      <c r="N22" s="29" t="inlineStr">
        <is>
          <t>Shreya Patil</t>
        </is>
      </c>
      <c r="O22" s="30" t="n">
        <v>46220</v>
      </c>
      <c r="P22" s="30" t="n">
        <v>46230</v>
      </c>
      <c r="Q22" s="30" t="n">
        <v>46231</v>
      </c>
      <c r="R22" s="29" t="inlineStr">
        <is>
          <t>1.0.0</t>
        </is>
      </c>
      <c r="S22" s="29" t="inlineStr">
        <is>
          <t>Sprint 26</t>
        </is>
      </c>
      <c r="T22" s="29" t="inlineStr">
        <is>
          <t>UI Regression</t>
        </is>
      </c>
      <c r="U22" s="29" t="inlineStr">
        <is>
          <t>Show $79</t>
        </is>
      </c>
      <c r="V22" s="29" t="inlineStr"/>
      <c r="W22" s="29" t="inlineStr"/>
      <c r="X22" s="29" t="inlineStr">
        <is>
          <t>P2-4 FIXED</t>
        </is>
      </c>
    </row>
    <row r="23">
      <c r="A23" s="27" t="inlineStr">
        <is>
          <t>BUG-P2-05</t>
        </is>
      </c>
      <c r="B23" s="27" t="inlineStr">
        <is>
          <t>StarBuilder polish cost wrong</t>
        </is>
      </c>
      <c r="C23" s="27" t="inlineStr">
        <is>
          <t>Hardcoded cost vs economics</t>
        </is>
      </c>
      <c r="D23" s="27" t="inlineStr">
        <is>
          <t>Prep Lab</t>
        </is>
      </c>
      <c r="E23" s="27" t="inlineStr">
        <is>
          <t>STAR Builder</t>
        </is>
      </c>
      <c r="F23" s="27" t="inlineStr">
        <is>
          <t>Staging</t>
        </is>
      </c>
      <c r="G23" s="27" t="inlineStr">
        <is>
          <t>Chrome</t>
        </is>
      </c>
      <c r="H23" s="27" t="inlineStr">
        <is>
          <t>Desktop</t>
        </is>
      </c>
      <c r="I23" s="27" t="inlineStr">
        <is>
          <t>Windows</t>
        </is>
      </c>
      <c r="J23" s="27" t="inlineStr">
        <is>
          <t>Medium</t>
        </is>
      </c>
      <c r="K23" s="27" t="inlineStr">
        <is>
          <t>Medium</t>
        </is>
      </c>
      <c r="L23" s="27" t="inlineStr">
        <is>
          <t>Closed</t>
        </is>
      </c>
      <c r="M23" s="27" t="inlineStr">
        <is>
          <t>Prep</t>
        </is>
      </c>
      <c r="N23" s="27" t="inlineStr">
        <is>
          <t>Raj Balani</t>
        </is>
      </c>
      <c r="O23" s="28" t="n">
        <v>46220</v>
      </c>
      <c r="P23" s="28" t="n">
        <v>46230</v>
      </c>
      <c r="Q23" s="27" t="inlineStr"/>
      <c r="R23" s="27" t="inlineStr">
        <is>
          <t>1.0.0</t>
        </is>
      </c>
      <c r="S23" s="27" t="inlineStr">
        <is>
          <t>Sprint 26</t>
        </is>
      </c>
      <c r="T23" s="27" t="inlineStr">
        <is>
          <t>Logic Bug</t>
        </is>
      </c>
      <c r="U23" s="27" t="inlineStr">
        <is>
          <t>Use creditEconomics</t>
        </is>
      </c>
      <c r="V23" s="27" t="inlineStr"/>
      <c r="W23" s="27" t="inlineStr"/>
      <c r="X23" s="27" t="inlineStr">
        <is>
          <t>P2-5 FIXED</t>
        </is>
      </c>
    </row>
    <row r="24">
      <c r="A24" s="29" t="inlineStr">
        <is>
          <t>BUG-P2-06</t>
        </is>
      </c>
      <c r="B24" s="29" t="inlineStr">
        <is>
          <t>SettingsBilling creditsUsed negative</t>
        </is>
      </c>
      <c r="C24" s="29" t="inlineStr">
        <is>
          <t>allowance - remaining after packs</t>
        </is>
      </c>
      <c r="D24" s="29" t="inlineStr">
        <is>
          <t>Settings</t>
        </is>
      </c>
      <c r="E24" s="29" t="inlineStr">
        <is>
          <t>Billing settings tab</t>
        </is>
      </c>
      <c r="F24" s="29" t="inlineStr">
        <is>
          <t>Staging</t>
        </is>
      </c>
      <c r="G24" s="29" t="inlineStr">
        <is>
          <t>Chrome</t>
        </is>
      </c>
      <c r="H24" s="29" t="inlineStr">
        <is>
          <t>Desktop</t>
        </is>
      </c>
      <c r="I24" s="29" t="inlineStr">
        <is>
          <t>Windows</t>
        </is>
      </c>
      <c r="J24" s="29" t="inlineStr">
        <is>
          <t>Medium</t>
        </is>
      </c>
      <c r="K24" s="29" t="inlineStr">
        <is>
          <t>High</t>
        </is>
      </c>
      <c r="L24" s="29" t="inlineStr">
        <is>
          <t>Closed</t>
        </is>
      </c>
      <c r="M24" s="29" t="inlineStr">
        <is>
          <t>Billing</t>
        </is>
      </c>
      <c r="N24" s="29" t="inlineStr">
        <is>
          <t>Raj Balani</t>
        </is>
      </c>
      <c r="O24" s="30" t="n">
        <v>46220</v>
      </c>
      <c r="P24" s="30" t="n">
        <v>46230</v>
      </c>
      <c r="Q24" s="29" t="inlineStr"/>
      <c r="R24" s="29" t="inlineStr">
        <is>
          <t>1.0.0</t>
        </is>
      </c>
      <c r="S24" s="29" t="inlineStr">
        <is>
          <t>Sprint 26</t>
        </is>
      </c>
      <c r="T24" s="29" t="inlineStr">
        <is>
          <t>Logic Bug</t>
        </is>
      </c>
      <c r="U24" s="29" t="inlineStr">
        <is>
          <t>Usage from ledger</t>
        </is>
      </c>
      <c r="V24" s="29" t="inlineStr"/>
      <c r="W24" s="29" t="inlineStr"/>
      <c r="X24" s="29" t="inlineStr">
        <is>
          <t>P2-6 FIXED</t>
        </is>
      </c>
    </row>
    <row r="25">
      <c r="A25" s="27" t="inlineStr">
        <is>
          <t>BUG-P2-07</t>
        </is>
      </c>
      <c r="B25" s="27" t="inlineStr">
        <is>
          <t>India-only advertised but disabled</t>
        </is>
      </c>
      <c r="C25" s="27" t="inlineStr">
        <is>
          <t>UI claims vs indiaRegion always true</t>
        </is>
      </c>
      <c r="D25" s="27" t="inlineStr">
        <is>
          <t>Gov Exam Mock Tests</t>
        </is>
      </c>
      <c r="E25" s="27" t="inlineStr">
        <is>
          <t>India region gate</t>
        </is>
      </c>
      <c r="F25" s="27" t="inlineStr">
        <is>
          <t>Staging</t>
        </is>
      </c>
      <c r="G25" s="27" t="inlineStr">
        <is>
          <t>Chrome</t>
        </is>
      </c>
      <c r="H25" s="27" t="inlineStr">
        <is>
          <t>Desktop</t>
        </is>
      </c>
      <c r="I25" s="27" t="inlineStr">
        <is>
          <t>Windows</t>
        </is>
      </c>
      <c r="J25" s="27" t="inlineStr">
        <is>
          <t>Medium</t>
        </is>
      </c>
      <c r="K25" s="27" t="inlineStr">
        <is>
          <t>Medium</t>
        </is>
      </c>
      <c r="L25" s="27" t="inlineStr">
        <is>
          <t>Closed</t>
        </is>
      </c>
      <c r="M25" s="27" t="inlineStr">
        <is>
          <t>Platform</t>
        </is>
      </c>
      <c r="N25" s="27" t="inlineStr">
        <is>
          <t>Shreya Patil</t>
        </is>
      </c>
      <c r="O25" s="28" t="n">
        <v>46220</v>
      </c>
      <c r="P25" s="28" t="n">
        <v>46230</v>
      </c>
      <c r="Q25" s="27" t="inlineStr"/>
      <c r="R25" s="27" t="inlineStr">
        <is>
          <t>1.0.0</t>
        </is>
      </c>
      <c r="S25" s="27" t="inlineStr">
        <is>
          <t>Sprint 26</t>
        </is>
      </c>
      <c r="T25" s="27" t="inlineStr">
        <is>
          <t>Design Gap</t>
        </is>
      </c>
      <c r="U25" s="27" t="inlineStr">
        <is>
          <t>Strip India-only claims</t>
        </is>
      </c>
      <c r="V25" s="27" t="inlineStr"/>
      <c r="W25" s="27" t="inlineStr"/>
      <c r="X25" s="27" t="inlineStr">
        <is>
          <t>P2-7 FIXED</t>
        </is>
      </c>
    </row>
    <row r="26">
      <c r="A26" s="29" t="inlineStr">
        <is>
          <t>BUG-P2-08</t>
        </is>
      </c>
      <c r="B26" s="29" t="inlineStr">
        <is>
          <t>Analytics overwrote total_sessions</t>
        </is>
      </c>
      <c r="C26" s="29" t="inlineStr">
        <is>
          <t>Client page length overwrite</t>
        </is>
      </c>
      <c r="D26" s="29" t="inlineStr">
        <is>
          <t>Analytics &amp; Usage</t>
        </is>
      </c>
      <c r="E26" s="29" t="inlineStr">
        <is>
          <t>Analytics dashboard</t>
        </is>
      </c>
      <c r="F26" s="29" t="inlineStr">
        <is>
          <t>Staging</t>
        </is>
      </c>
      <c r="G26" s="29" t="inlineStr">
        <is>
          <t>Chrome</t>
        </is>
      </c>
      <c r="H26" s="29" t="inlineStr">
        <is>
          <t>Desktop</t>
        </is>
      </c>
      <c r="I26" s="29" t="inlineStr">
        <is>
          <t>Windows</t>
        </is>
      </c>
      <c r="J26" s="29" t="inlineStr">
        <is>
          <t>Medium</t>
        </is>
      </c>
      <c r="K26" s="29" t="inlineStr">
        <is>
          <t>Medium</t>
        </is>
      </c>
      <c r="L26" s="29" t="inlineStr">
        <is>
          <t>Closed</t>
        </is>
      </c>
      <c r="M26" s="29" t="inlineStr">
        <is>
          <t>Analytics</t>
        </is>
      </c>
      <c r="N26" s="29" t="inlineStr">
        <is>
          <t>Raj Balani</t>
        </is>
      </c>
      <c r="O26" s="30" t="n">
        <v>46220</v>
      </c>
      <c r="P26" s="30" t="n">
        <v>46230</v>
      </c>
      <c r="Q26" s="29" t="inlineStr"/>
      <c r="R26" s="29" t="inlineStr">
        <is>
          <t>1.0.0</t>
        </is>
      </c>
      <c r="S26" s="29" t="inlineStr">
        <is>
          <t>Sprint 26</t>
        </is>
      </c>
      <c r="T26" s="29" t="inlineStr">
        <is>
          <t>Logic Bug</t>
        </is>
      </c>
      <c r="U26" s="29" t="inlineStr">
        <is>
          <t>Keep server total_sessions</t>
        </is>
      </c>
      <c r="V26" s="29" t="inlineStr"/>
      <c r="W26" s="29" t="inlineStr"/>
      <c r="X26" s="29" t="inlineStr">
        <is>
          <t>P2-8 FIXED</t>
        </is>
      </c>
    </row>
    <row r="27">
      <c r="A27" s="27" t="inlineStr">
        <is>
          <t>BUG-P2-09</t>
        </is>
      </c>
      <c r="B27" s="27" t="inlineStr">
        <is>
          <t>Onboarding always saved default mic</t>
        </is>
      </c>
      <c r="C27" s="27" t="inlineStr">
        <is>
          <t>audio_input_device hardcoded</t>
        </is>
      </c>
      <c r="D27" s="27" t="inlineStr">
        <is>
          <t>Auth &amp; Onboarding</t>
        </is>
      </c>
      <c r="E27" s="27" t="inlineStr">
        <is>
          <t>Onboarding wizard 5 steps</t>
        </is>
      </c>
      <c r="F27" s="27" t="inlineStr">
        <is>
          <t>Staging</t>
        </is>
      </c>
      <c r="G27" s="27" t="inlineStr">
        <is>
          <t>Chrome</t>
        </is>
      </c>
      <c r="H27" s="27" t="inlineStr">
        <is>
          <t>Desktop</t>
        </is>
      </c>
      <c r="I27" s="27" t="inlineStr">
        <is>
          <t>Windows</t>
        </is>
      </c>
      <c r="J27" s="27" t="inlineStr">
        <is>
          <t>Medium</t>
        </is>
      </c>
      <c r="K27" s="27" t="inlineStr">
        <is>
          <t>Medium</t>
        </is>
      </c>
      <c r="L27" s="27" t="inlineStr">
        <is>
          <t>Closed</t>
        </is>
      </c>
      <c r="M27" s="27" t="inlineStr">
        <is>
          <t>Auth Lead</t>
        </is>
      </c>
      <c r="N27" s="27" t="inlineStr">
        <is>
          <t>Shreya Patil</t>
        </is>
      </c>
      <c r="O27" s="28" t="n">
        <v>46220</v>
      </c>
      <c r="P27" s="28" t="n">
        <v>46230</v>
      </c>
      <c r="Q27" s="27" t="inlineStr"/>
      <c r="R27" s="27" t="inlineStr">
        <is>
          <t>1.0.0</t>
        </is>
      </c>
      <c r="S27" s="27" t="inlineStr">
        <is>
          <t>Sprint 26</t>
        </is>
      </c>
      <c r="T27" s="27" t="inlineStr">
        <is>
          <t>Logic Bug</t>
        </is>
      </c>
      <c r="U27" s="27" t="inlineStr">
        <is>
          <t>Persist selected device</t>
        </is>
      </c>
      <c r="V27" s="27" t="inlineStr"/>
      <c r="W27" s="27" t="inlineStr"/>
      <c r="X27" s="27" t="inlineStr">
        <is>
          <t>P2-9 FIXED</t>
        </is>
      </c>
    </row>
    <row r="28">
      <c r="A28" s="29" t="inlineStr">
        <is>
          <t>BUG-P2-10</t>
        </is>
      </c>
      <c r="B28" s="29" t="inlineStr">
        <is>
          <t>Onboarding anxiety never saved</t>
        </is>
      </c>
      <c r="C28" s="29" t="inlineStr">
        <is>
          <t>Collected then discarded</t>
        </is>
      </c>
      <c r="D28" s="29" t="inlineStr">
        <is>
          <t>Auth &amp; Onboarding</t>
        </is>
      </c>
      <c r="E28" s="29" t="inlineStr">
        <is>
          <t>Onboarding wizard 5 steps</t>
        </is>
      </c>
      <c r="F28" s="29" t="inlineStr">
        <is>
          <t>Staging</t>
        </is>
      </c>
      <c r="G28" s="29" t="inlineStr">
        <is>
          <t>Chrome</t>
        </is>
      </c>
      <c r="H28" s="29" t="inlineStr">
        <is>
          <t>Desktop</t>
        </is>
      </c>
      <c r="I28" s="29" t="inlineStr">
        <is>
          <t>Windows</t>
        </is>
      </c>
      <c r="J28" s="29" t="inlineStr">
        <is>
          <t>Low</t>
        </is>
      </c>
      <c r="K28" s="29" t="inlineStr">
        <is>
          <t>Medium</t>
        </is>
      </c>
      <c r="L28" s="29" t="inlineStr">
        <is>
          <t>Closed</t>
        </is>
      </c>
      <c r="M28" s="29" t="inlineStr">
        <is>
          <t>Auth Lead</t>
        </is>
      </c>
      <c r="N28" s="29" t="inlineStr">
        <is>
          <t>Shreya Patil</t>
        </is>
      </c>
      <c r="O28" s="30" t="n">
        <v>46220</v>
      </c>
      <c r="P28" s="30" t="n">
        <v>46230</v>
      </c>
      <c r="Q28" s="29" t="inlineStr"/>
      <c r="R28" s="29" t="inlineStr">
        <is>
          <t>1.0.0</t>
        </is>
      </c>
      <c r="S28" s="29" t="inlineStr">
        <is>
          <t>Sprint 26</t>
        </is>
      </c>
      <c r="T28" s="29" t="inlineStr">
        <is>
          <t>Logic Bug</t>
        </is>
      </c>
      <c r="U28" s="29" t="inlineStr">
        <is>
          <t>Persist in JSON prefs</t>
        </is>
      </c>
      <c r="V28" s="29" t="inlineStr"/>
      <c r="W28" s="29" t="inlineStr"/>
      <c r="X28" s="29" t="inlineStr">
        <is>
          <t>P2-10 FIXED</t>
        </is>
      </c>
    </row>
    <row r="29">
      <c r="A29" s="27" t="inlineStr">
        <is>
          <t>BUG-P2-11</t>
        </is>
      </c>
      <c r="B29" s="27" t="inlineStr">
        <is>
          <t>Sidebar collapse overwritten on resize</t>
        </is>
      </c>
      <c r="C29" s="27" t="inlineStr">
        <is>
          <t>Breakpoint overwrote preference</t>
        </is>
      </c>
      <c r="D29" s="27" t="inlineStr">
        <is>
          <t>Dashboard</t>
        </is>
      </c>
      <c r="E29" s="27" t="inlineStr">
        <is>
          <t>Home dashboard KPIs</t>
        </is>
      </c>
      <c r="F29" s="27" t="inlineStr">
        <is>
          <t>Staging</t>
        </is>
      </c>
      <c r="G29" s="27" t="inlineStr">
        <is>
          <t>Chrome</t>
        </is>
      </c>
      <c r="H29" s="27" t="inlineStr">
        <is>
          <t>Desktop</t>
        </is>
      </c>
      <c r="I29" s="27" t="inlineStr">
        <is>
          <t>Windows</t>
        </is>
      </c>
      <c r="J29" s="27" t="inlineStr">
        <is>
          <t>Low</t>
        </is>
      </c>
      <c r="K29" s="27" t="inlineStr">
        <is>
          <t>Low</t>
        </is>
      </c>
      <c r="L29" s="27" t="inlineStr">
        <is>
          <t>Closed</t>
        </is>
      </c>
      <c r="M29" s="27" t="inlineStr">
        <is>
          <t>Product</t>
        </is>
      </c>
      <c r="N29" s="27" t="inlineStr">
        <is>
          <t>Raj Balani</t>
        </is>
      </c>
      <c r="O29" s="28" t="n">
        <v>46220</v>
      </c>
      <c r="P29" s="28" t="n">
        <v>46230</v>
      </c>
      <c r="Q29" s="27" t="inlineStr"/>
      <c r="R29" s="27" t="inlineStr">
        <is>
          <t>1.0.0</t>
        </is>
      </c>
      <c r="S29" s="27" t="inlineStr">
        <is>
          <t>Sprint 26</t>
        </is>
      </c>
      <c r="T29" s="27" t="inlineStr">
        <is>
          <t>Logic Bug</t>
        </is>
      </c>
      <c r="U29" s="27" t="inlineStr">
        <is>
          <t>Local transient collapse</t>
        </is>
      </c>
      <c r="V29" s="27" t="inlineStr"/>
      <c r="W29" s="27" t="inlineStr"/>
      <c r="X29" s="27" t="inlineStr">
        <is>
          <t>P2-11 FIXED</t>
        </is>
      </c>
    </row>
    <row r="30">
      <c r="A30" s="29" t="inlineStr">
        <is>
          <t>BUG-P2-12</t>
        </is>
      </c>
      <c r="B30" s="29" t="inlineStr">
        <is>
          <t>Help still describes Group Practice</t>
        </is>
      </c>
      <c r="C30" s="29" t="inlineStr">
        <is>
          <t>Rooms redirect away</t>
        </is>
      </c>
      <c r="D30" s="29" t="inlineStr">
        <is>
          <t>Referrals &amp; Guide</t>
        </is>
      </c>
      <c r="E30" s="29" t="inlineStr">
        <is>
          <t>In-app Guide/Help</t>
        </is>
      </c>
      <c r="F30" s="29" t="inlineStr">
        <is>
          <t>Staging</t>
        </is>
      </c>
      <c r="G30" s="29" t="inlineStr">
        <is>
          <t>Chrome</t>
        </is>
      </c>
      <c r="H30" s="29" t="inlineStr">
        <is>
          <t>Desktop</t>
        </is>
      </c>
      <c r="I30" s="29" t="inlineStr">
        <is>
          <t>Windows</t>
        </is>
      </c>
      <c r="J30" s="29" t="inlineStr">
        <is>
          <t>Low</t>
        </is>
      </c>
      <c r="K30" s="29" t="inlineStr">
        <is>
          <t>Low</t>
        </is>
      </c>
      <c r="L30" s="29" t="inlineStr">
        <is>
          <t>Closed</t>
        </is>
      </c>
      <c r="M30" s="29" t="inlineStr">
        <is>
          <t>Growth</t>
        </is>
      </c>
      <c r="N30" s="29" t="inlineStr">
        <is>
          <t>Shreya Patil</t>
        </is>
      </c>
      <c r="O30" s="30" t="n">
        <v>46220</v>
      </c>
      <c r="P30" s="30" t="n">
        <v>46230</v>
      </c>
      <c r="Q30" s="29" t="inlineStr"/>
      <c r="R30" s="29" t="inlineStr">
        <is>
          <t>1.0.0</t>
        </is>
      </c>
      <c r="S30" s="29" t="inlineStr">
        <is>
          <t>Sprint 26</t>
        </is>
      </c>
      <c r="T30" s="29" t="inlineStr">
        <is>
          <t>Design Gap</t>
        </is>
      </c>
      <c r="U30" s="29" t="inlineStr">
        <is>
          <t>Coming soon copy</t>
        </is>
      </c>
      <c r="V30" s="29" t="inlineStr"/>
      <c r="W30" s="29" t="inlineStr"/>
      <c r="X30" s="29" t="inlineStr">
        <is>
          <t>P2-12 FIXED</t>
        </is>
      </c>
    </row>
    <row r="31">
      <c r="A31" s="27" t="inlineStr">
        <is>
          <t>BUG-OPEN-01</t>
        </is>
      </c>
      <c r="B31" s="27" t="inlineStr">
        <is>
          <t>Razorpay plans do not auto-renew</t>
        </is>
      </c>
      <c r="C31" s="27" t="inlineStr">
        <is>
          <t>One-time Order only; UI now discloses one-time (Subscriptions API still missing)</t>
        </is>
      </c>
      <c r="D31" s="27" t="inlineStr">
        <is>
          <t>Billing &amp; Credits</t>
        </is>
      </c>
      <c r="E31" s="27" t="inlineStr">
        <is>
          <t>Razorpay INR checkout</t>
        </is>
      </c>
      <c r="F31" s="27" t="inlineStr">
        <is>
          <t>Production</t>
        </is>
      </c>
      <c r="G31" s="27" t="inlineStr">
        <is>
          <t>Chrome</t>
        </is>
      </c>
      <c r="H31" s="27" t="inlineStr">
        <is>
          <t>Desktop</t>
        </is>
      </c>
      <c r="I31" s="27" t="inlineStr">
        <is>
          <t>Windows</t>
        </is>
      </c>
      <c r="J31" s="27" t="inlineStr">
        <is>
          <t>High</t>
        </is>
      </c>
      <c r="K31" s="27" t="inlineStr">
        <is>
          <t>Critical</t>
        </is>
      </c>
      <c r="L31" s="27" t="inlineStr">
        <is>
          <t>Open</t>
        </is>
      </c>
      <c r="M31" s="27" t="inlineStr">
        <is>
          <t>Billing</t>
        </is>
      </c>
      <c r="N31" s="27" t="inlineStr">
        <is>
          <t>Raj Balani</t>
        </is>
      </c>
      <c r="O31" s="28" t="n">
        <v>46207</v>
      </c>
      <c r="P31" s="27" t="inlineStr"/>
      <c r="Q31" s="27" t="inlineStr"/>
      <c r="R31" s="27" t="inlineStr">
        <is>
          <t>1.0.0</t>
        </is>
      </c>
      <c r="S31" s="27" t="inlineStr">
        <is>
          <t>Sprint 25</t>
        </is>
      </c>
      <c r="T31" s="27" t="inlineStr">
        <is>
          <t>Design Gap</t>
        </is>
      </c>
      <c r="U31" s="27" t="inlineStr">
        <is>
          <t>UI honesty shipped; recurring INR still roadmap</t>
        </is>
      </c>
      <c r="V31" s="27" t="inlineStr"/>
      <c r="W31" s="27" t="inlineStr"/>
      <c r="X31" s="27" t="inlineStr">
        <is>
          <t>Roadmap — recurring INR</t>
        </is>
      </c>
    </row>
    <row r="32">
      <c r="A32" s="29" t="inlineStr">
        <is>
          <t>BUG-OPEN-02</t>
        </is>
      </c>
      <c r="B32" s="29" t="inlineStr">
        <is>
          <t>Gov exam bank was thin (~26 MCQs)</t>
        </is>
      </c>
      <c r="C32" s="29" t="inlineStr">
        <is>
          <t>Expanded via migration 20260729120000 (~80+ new MCQs)</t>
        </is>
      </c>
      <c r="D32" s="29" t="inlineStr">
        <is>
          <t>Gov Exam Mock Tests</t>
        </is>
      </c>
      <c r="E32" s="29" t="inlineStr">
        <is>
          <t>Question bank content</t>
        </is>
      </c>
      <c r="F32" s="29" t="inlineStr">
        <is>
          <t>Staging</t>
        </is>
      </c>
      <c r="G32" s="29" t="inlineStr">
        <is>
          <t>Chrome</t>
        </is>
      </c>
      <c r="H32" s="29" t="inlineStr">
        <is>
          <t>Desktop</t>
        </is>
      </c>
      <c r="I32" s="29" t="inlineStr">
        <is>
          <t>Windows</t>
        </is>
      </c>
      <c r="J32" s="29" t="inlineStr">
        <is>
          <t>High</t>
        </is>
      </c>
      <c r="K32" s="29" t="inlineStr">
        <is>
          <t>Critical</t>
        </is>
      </c>
      <c r="L32" s="29" t="inlineStr">
        <is>
          <t>Closed</t>
        </is>
      </c>
      <c r="M32" s="29" t="inlineStr">
        <is>
          <t>GovExams</t>
        </is>
      </c>
      <c r="N32" s="29" t="inlineStr">
        <is>
          <t>Raj Balani</t>
        </is>
      </c>
      <c r="O32" s="30" t="n">
        <v>46202</v>
      </c>
      <c r="P32" s="30" t="n">
        <v>46231</v>
      </c>
      <c r="Q32" s="29" t="inlineStr"/>
      <c r="R32" s="29" t="inlineStr">
        <is>
          <t>1.0.0</t>
        </is>
      </c>
      <c r="S32" s="29" t="inlineStr">
        <is>
          <t>Sprint 27</t>
        </is>
      </c>
      <c r="T32" s="29" t="inlineStr">
        <is>
          <t>Design Gap</t>
        </is>
      </c>
      <c r="U32" s="29" t="inlineStr">
        <is>
          <t>Apply expand_gov_exam_mcq_seeds migration</t>
        </is>
      </c>
      <c r="V32" s="29" t="inlineStr"/>
      <c r="W32" s="29" t="inlineStr"/>
      <c r="X32" s="29" t="inlineStr">
        <is>
          <t>FIXED launch pass — retest bank size</t>
        </is>
      </c>
    </row>
    <row r="33">
      <c r="A33" s="27" t="inlineStr">
        <is>
          <t>BUG-OPEN-03</t>
        </is>
      </c>
      <c r="B33" s="27" t="inlineStr">
        <is>
          <t>Google Calendar sync returns 501</t>
        </is>
      </c>
      <c r="C33" s="27" t="inlineStr">
        <is>
          <t>Missing OAuth secrets in staging/prod</t>
        </is>
      </c>
      <c r="D33" s="27" t="inlineStr">
        <is>
          <t>Interviews &amp; Calendar</t>
        </is>
      </c>
      <c r="E33" s="27" t="inlineStr">
        <is>
          <t>Google Calendar sync</t>
        </is>
      </c>
      <c r="F33" s="27" t="inlineStr">
        <is>
          <t>Staging</t>
        </is>
      </c>
      <c r="G33" s="27" t="inlineStr">
        <is>
          <t>Chrome</t>
        </is>
      </c>
      <c r="H33" s="27" t="inlineStr">
        <is>
          <t>Laptop</t>
        </is>
      </c>
      <c r="I33" s="27" t="inlineStr">
        <is>
          <t>macOS</t>
        </is>
      </c>
      <c r="J33" s="27" t="inlineStr">
        <is>
          <t>High</t>
        </is>
      </c>
      <c r="K33" s="27" t="inlineStr">
        <is>
          <t>High</t>
        </is>
      </c>
      <c r="L33" s="27" t="inlineStr">
        <is>
          <t>Blocked</t>
        </is>
      </c>
      <c r="M33" s="27" t="inlineStr">
        <is>
          <t>Scheduling</t>
        </is>
      </c>
      <c r="N33" s="27" t="inlineStr">
        <is>
          <t>Shreya Patil</t>
        </is>
      </c>
      <c r="O33" s="28" t="n">
        <v>46222</v>
      </c>
      <c r="P33" s="27" t="inlineStr"/>
      <c r="Q33" s="27" t="inlineStr"/>
      <c r="R33" s="27" t="inlineStr">
        <is>
          <t>1.0.0</t>
        </is>
      </c>
      <c r="S33" s="27" t="inlineStr">
        <is>
          <t>Sprint 26</t>
        </is>
      </c>
      <c r="T33" s="27" t="inlineStr">
        <is>
          <t>Config/Env</t>
        </is>
      </c>
      <c r="U33" s="27" t="inlineStr">
        <is>
          <t>Needs GOOGLE_CLIENT_ID/SECRET (+ refresh tokens) in Edge secrets</t>
        </is>
      </c>
      <c r="V33" s="27" t="inlineStr"/>
      <c r="W33" s="27" t="inlineStr"/>
      <c r="X33" s="27" t="inlineStr">
        <is>
          <t>Ops blocker — no fake fix</t>
        </is>
      </c>
    </row>
    <row r="34">
      <c r="A34" s="29" t="inlineStr">
        <is>
          <t>BUG-OPEN-04</t>
        </is>
      </c>
      <c r="B34" s="29" t="inlineStr">
        <is>
          <t>Mock interview has no TTS</t>
        </is>
      </c>
      <c r="C34" s="29" t="inlineStr">
        <is>
          <t>Questions not spoken aloud</t>
        </is>
      </c>
      <c r="D34" s="29" t="inlineStr">
        <is>
          <t>Mock Interview</t>
        </is>
      </c>
      <c r="E34" s="29" t="inlineStr">
        <is>
          <t>Mock TTS playback</t>
        </is>
      </c>
      <c r="F34" s="29" t="inlineStr">
        <is>
          <t>Staging</t>
        </is>
      </c>
      <c r="G34" s="29" t="inlineStr">
        <is>
          <t>Chrome</t>
        </is>
      </c>
      <c r="H34" s="29" t="inlineStr">
        <is>
          <t>Desktop</t>
        </is>
      </c>
      <c r="I34" s="29" t="inlineStr">
        <is>
          <t>Windows</t>
        </is>
      </c>
      <c r="J34" s="29" t="inlineStr">
        <is>
          <t>High</t>
        </is>
      </c>
      <c r="K34" s="29" t="inlineStr">
        <is>
          <t>High</t>
        </is>
      </c>
      <c r="L34" s="29" t="inlineStr">
        <is>
          <t>Open</t>
        </is>
      </c>
      <c r="M34" s="29" t="inlineStr">
        <is>
          <t>Live Coach</t>
        </is>
      </c>
      <c r="N34" s="29" t="inlineStr">
        <is>
          <t>Shreya Patil</t>
        </is>
      </c>
      <c r="O34" s="30" t="n">
        <v>46204</v>
      </c>
      <c r="P34" s="29" t="inlineStr"/>
      <c r="Q34" s="29" t="inlineStr"/>
      <c r="R34" s="29" t="inlineStr">
        <is>
          <t>1.0.0</t>
        </is>
      </c>
      <c r="S34" s="29" t="inlineStr">
        <is>
          <t>Sprint 24</t>
        </is>
      </c>
      <c r="T34" s="29" t="inlineStr">
        <is>
          <t>Design Gap</t>
        </is>
      </c>
      <c r="U34" s="29" t="inlineStr"/>
      <c r="V34" s="29" t="inlineStr"/>
      <c r="W34" s="29" t="inlineStr"/>
      <c r="X34" s="29" t="inlineStr">
        <is>
          <t>Roadmap / descope</t>
        </is>
      </c>
    </row>
    <row r="35">
      <c r="A35" s="27" t="inlineStr">
        <is>
          <t>BUG-OPEN-05</t>
        </is>
      </c>
      <c r="B35" s="27" t="inlineStr">
        <is>
          <t>Gap analysis UI not fully wired</t>
        </is>
      </c>
      <c r="C35" s="27" t="inlineStr">
        <is>
          <t>JDDetail now runs gap-analysis + shows results/402</t>
        </is>
      </c>
      <c r="D35" s="27" t="inlineStr">
        <is>
          <t>Documents &amp; Resumes</t>
        </is>
      </c>
      <c r="E35" s="27" t="inlineStr">
        <is>
          <t>Resume vs JD gap analysis</t>
        </is>
      </c>
      <c r="F35" s="27" t="inlineStr">
        <is>
          <t>Staging</t>
        </is>
      </c>
      <c r="G35" s="27" t="inlineStr">
        <is>
          <t>Chrome</t>
        </is>
      </c>
      <c r="H35" s="27" t="inlineStr">
        <is>
          <t>Desktop</t>
        </is>
      </c>
      <c r="I35" s="27" t="inlineStr">
        <is>
          <t>Windows</t>
        </is>
      </c>
      <c r="J35" s="27" t="inlineStr">
        <is>
          <t>Medium</t>
        </is>
      </c>
      <c r="K35" s="27" t="inlineStr">
        <is>
          <t>High</t>
        </is>
      </c>
      <c r="L35" s="27" t="inlineStr">
        <is>
          <t>Closed</t>
        </is>
      </c>
      <c r="M35" s="27" t="inlineStr">
        <is>
          <t>Docs</t>
        </is>
      </c>
      <c r="N35" s="27" t="inlineStr">
        <is>
          <t>Shreya Patil</t>
        </is>
      </c>
      <c r="O35" s="28" t="n">
        <v>46214</v>
      </c>
      <c r="P35" s="28" t="n">
        <v>46231</v>
      </c>
      <c r="Q35" s="27" t="inlineStr"/>
      <c r="R35" s="27" t="inlineStr">
        <is>
          <t>1.0.0</t>
        </is>
      </c>
      <c r="S35" s="27" t="inlineStr">
        <is>
          <t>Sprint 27</t>
        </is>
      </c>
      <c r="T35" s="27" t="inlineStr">
        <is>
          <t>Design Gap</t>
        </is>
      </c>
      <c r="U35" s="27" t="inlineStr">
        <is>
          <t>Retest JD gap panel with primary resume</t>
        </is>
      </c>
      <c r="V35" s="27" t="inlineStr"/>
      <c r="W35" s="27" t="inlineStr"/>
      <c r="X35" s="27" t="inlineStr">
        <is>
          <t>FIXED launch pass</t>
        </is>
      </c>
    </row>
    <row r="36">
      <c r="A36" s="29" t="inlineStr">
        <is>
          <t>BUG-OPEN-06</t>
        </is>
      </c>
      <c r="B36" s="29" t="inlineStr">
        <is>
          <t>Resume version history UI missing</t>
        </is>
      </c>
      <c r="C36" s="29" t="inlineStr">
        <is>
          <t>Read-only version list on ResumeDetail</t>
        </is>
      </c>
      <c r="D36" s="29" t="inlineStr">
        <is>
          <t>Documents &amp; Resumes</t>
        </is>
      </c>
      <c r="E36" s="29" t="inlineStr">
        <is>
          <t>Resume version history UI</t>
        </is>
      </c>
      <c r="F36" s="29" t="inlineStr">
        <is>
          <t>Staging</t>
        </is>
      </c>
      <c r="G36" s="29" t="inlineStr">
        <is>
          <t>Chrome</t>
        </is>
      </c>
      <c r="H36" s="29" t="inlineStr">
        <is>
          <t>Desktop</t>
        </is>
      </c>
      <c r="I36" s="29" t="inlineStr">
        <is>
          <t>Windows</t>
        </is>
      </c>
      <c r="J36" s="29" t="inlineStr">
        <is>
          <t>Medium</t>
        </is>
      </c>
      <c r="K36" s="29" t="inlineStr">
        <is>
          <t>Medium</t>
        </is>
      </c>
      <c r="L36" s="29" t="inlineStr">
        <is>
          <t>Closed</t>
        </is>
      </c>
      <c r="M36" s="29" t="inlineStr">
        <is>
          <t>Docs</t>
        </is>
      </c>
      <c r="N36" s="29" t="inlineStr">
        <is>
          <t>Shreya Patil</t>
        </is>
      </c>
      <c r="O36" s="30" t="n">
        <v>46210</v>
      </c>
      <c r="P36" s="30" t="n">
        <v>46231</v>
      </c>
      <c r="Q36" s="29" t="inlineStr"/>
      <c r="R36" s="29" t="inlineStr">
        <is>
          <t>1.0.0</t>
        </is>
      </c>
      <c r="S36" s="29" t="inlineStr">
        <is>
          <t>Sprint 27</t>
        </is>
      </c>
      <c r="T36" s="29" t="inlineStr">
        <is>
          <t>Design Gap</t>
        </is>
      </c>
      <c r="U36" s="29" t="inlineStr">
        <is>
          <t>Confirm versions appear after re-parse</t>
        </is>
      </c>
      <c r="V36" s="29" t="inlineStr"/>
      <c r="W36" s="29" t="inlineStr"/>
      <c r="X36" s="29" t="inlineStr">
        <is>
          <t>FIXED launch pass</t>
        </is>
      </c>
    </row>
    <row r="37">
      <c r="A37" s="27" t="inlineStr">
        <is>
          <t>BUG-OPEN-07</t>
        </is>
      </c>
      <c r="B37" s="27" t="inlineStr">
        <is>
          <t>Outlook Calendar not built</t>
        </is>
      </c>
      <c r="C37" s="27" t="inlineStr">
        <is>
          <t>Type only</t>
        </is>
      </c>
      <c r="D37" s="27" t="inlineStr">
        <is>
          <t>Interviews &amp; Calendar</t>
        </is>
      </c>
      <c r="E37" s="27" t="inlineStr">
        <is>
          <t>Outlook Calendar</t>
        </is>
      </c>
      <c r="F37" s="27" t="inlineStr">
        <is>
          <t>N/A</t>
        </is>
      </c>
      <c r="G37" s="27" t="inlineStr">
        <is>
          <t>N/A</t>
        </is>
      </c>
      <c r="H37" s="27" t="inlineStr">
        <is>
          <t>Desktop</t>
        </is>
      </c>
      <c r="I37" s="27" t="inlineStr">
        <is>
          <t>Windows</t>
        </is>
      </c>
      <c r="J37" s="27" t="inlineStr">
        <is>
          <t>Medium</t>
        </is>
      </c>
      <c r="K37" s="27" t="inlineStr">
        <is>
          <t>Medium</t>
        </is>
      </c>
      <c r="L37" s="27" t="inlineStr">
        <is>
          <t>Won't Fix</t>
        </is>
      </c>
      <c r="M37" s="27" t="inlineStr">
        <is>
          <t>Scheduling</t>
        </is>
      </c>
      <c r="N37" s="27" t="inlineStr">
        <is>
          <t>Raj Balani</t>
        </is>
      </c>
      <c r="O37" s="28" t="n">
        <v>46192</v>
      </c>
      <c r="P37" s="27" t="inlineStr"/>
      <c r="Q37" s="27" t="inlineStr"/>
      <c r="R37" s="27" t="inlineStr">
        <is>
          <t>1.0.0</t>
        </is>
      </c>
      <c r="S37" s="27" t="inlineStr">
        <is>
          <t>Sprint 22</t>
        </is>
      </c>
      <c r="T37" s="27" t="inlineStr">
        <is>
          <t>Design Gap</t>
        </is>
      </c>
      <c r="U37" s="27" t="inlineStr">
        <is>
          <t>Descope until scheduled</t>
        </is>
      </c>
      <c r="V37" s="27" t="inlineStr"/>
      <c r="W37" s="27" t="inlineStr"/>
      <c r="X37" s="27" t="inlineStr"/>
    </row>
    <row r="38">
      <c r="A38" s="29" t="inlineStr">
        <is>
          <t>BUG-OPEN-08</t>
        </is>
      </c>
      <c r="B38" s="29" t="inlineStr">
        <is>
          <t>Email/push prefs never consumed</t>
        </is>
      </c>
      <c r="C38" s="29" t="inlineStr">
        <is>
          <t>send-email gates on prefs; UI honesty for push/digest</t>
        </is>
      </c>
      <c r="D38" s="29" t="inlineStr">
        <is>
          <t>Notifications &amp; Profile</t>
        </is>
      </c>
      <c r="E38" s="29" t="inlineStr">
        <is>
          <t>Email notification prefs</t>
        </is>
      </c>
      <c r="F38" s="29" t="inlineStr">
        <is>
          <t>Staging</t>
        </is>
      </c>
      <c r="G38" s="29" t="inlineStr">
        <is>
          <t>Chrome</t>
        </is>
      </c>
      <c r="H38" s="29" t="inlineStr">
        <is>
          <t>Desktop</t>
        </is>
      </c>
      <c r="I38" s="29" t="inlineStr">
        <is>
          <t>Windows</t>
        </is>
      </c>
      <c r="J38" s="29" t="inlineStr">
        <is>
          <t>Medium</t>
        </is>
      </c>
      <c r="K38" s="29" t="inlineStr">
        <is>
          <t>Medium</t>
        </is>
      </c>
      <c r="L38" s="29" t="inlineStr">
        <is>
          <t>Closed</t>
        </is>
      </c>
      <c r="M38" s="29" t="inlineStr">
        <is>
          <t>Growth</t>
        </is>
      </c>
      <c r="N38" s="29" t="inlineStr">
        <is>
          <t>Raj Balani</t>
        </is>
      </c>
      <c r="O38" s="30" t="n">
        <v>46212</v>
      </c>
      <c r="P38" s="30" t="n">
        <v>46231</v>
      </c>
      <c r="Q38" s="29" t="inlineStr"/>
      <c r="R38" s="29" t="inlineStr">
        <is>
          <t>1.0.0</t>
        </is>
      </c>
      <c r="S38" s="29" t="inlineStr">
        <is>
          <t>Sprint 27</t>
        </is>
      </c>
      <c r="T38" s="29" t="inlineStr">
        <is>
          <t>Logic Bug</t>
        </is>
      </c>
      <c r="U38" s="29" t="inlineStr">
        <is>
          <t>Toggle off debrief_ready and confirm skip</t>
        </is>
      </c>
      <c r="V38" s="29" t="inlineStr"/>
      <c r="W38" s="29" t="inlineStr"/>
      <c r="X38" s="29" t="inlineStr">
        <is>
          <t>FIXED launch pass</t>
        </is>
      </c>
    </row>
    <row r="39">
      <c r="A39" s="27" t="inlineStr">
        <is>
          <t>BUG-OPEN-09</t>
        </is>
      </c>
      <c r="B39" s="27" t="inlineStr">
        <is>
          <t>Push notifications not implemented</t>
        </is>
      </c>
      <c r="C39" s="27" t="inlineStr">
        <is>
          <t>Permission prompt only</t>
        </is>
      </c>
      <c r="D39" s="27" t="inlineStr">
        <is>
          <t>Notifications &amp; Profile</t>
        </is>
      </c>
      <c r="E39" s="27" t="inlineStr">
        <is>
          <t>Push notifications</t>
        </is>
      </c>
      <c r="F39" s="27" t="inlineStr">
        <is>
          <t>Staging</t>
        </is>
      </c>
      <c r="G39" s="27" t="inlineStr">
        <is>
          <t>Chrome</t>
        </is>
      </c>
      <c r="H39" s="27" t="inlineStr">
        <is>
          <t>Desktop</t>
        </is>
      </c>
      <c r="I39" s="27" t="inlineStr">
        <is>
          <t>Windows</t>
        </is>
      </c>
      <c r="J39" s="27" t="inlineStr">
        <is>
          <t>Low</t>
        </is>
      </c>
      <c r="K39" s="27" t="inlineStr">
        <is>
          <t>Low</t>
        </is>
      </c>
      <c r="L39" s="27" t="inlineStr">
        <is>
          <t>Open</t>
        </is>
      </c>
      <c r="M39" s="27" t="inlineStr">
        <is>
          <t>Growth</t>
        </is>
      </c>
      <c r="N39" s="27" t="inlineStr">
        <is>
          <t>Raj Balani</t>
        </is>
      </c>
      <c r="O39" s="28" t="n">
        <v>46197</v>
      </c>
      <c r="P39" s="27" t="inlineStr"/>
      <c r="Q39" s="27" t="inlineStr"/>
      <c r="R39" s="27" t="inlineStr">
        <is>
          <t>1.0.0</t>
        </is>
      </c>
      <c r="S39" s="27" t="inlineStr">
        <is>
          <t>Sprint 22</t>
        </is>
      </c>
      <c r="T39" s="27" t="inlineStr">
        <is>
          <t>Design Gap</t>
        </is>
      </c>
      <c r="U39" s="27" t="inlineStr"/>
      <c r="V39" s="27" t="inlineStr"/>
      <c r="W39" s="27" t="inlineStr"/>
      <c r="X39" s="27" t="inlineStr">
        <is>
          <t>Missing / descope</t>
        </is>
      </c>
    </row>
    <row r="40">
      <c r="A40" s="29" t="inlineStr">
        <is>
          <t>BUG-OPEN-10</t>
        </is>
      </c>
      <c r="B40" s="29" t="inlineStr">
        <is>
          <t>Mobile nav missing destinations</t>
        </is>
      </c>
      <c r="C40" s="29" t="inlineStr">
        <is>
          <t>Notifications, Guide, Profile, Admin (+ Usage/Interview Day) in More</t>
        </is>
      </c>
      <c r="D40" s="29" t="inlineStr">
        <is>
          <t>Dashboard</t>
        </is>
      </c>
      <c r="E40" s="29" t="inlineStr">
        <is>
          <t>Mobile navigation</t>
        </is>
      </c>
      <c r="F40" s="29" t="inlineStr">
        <is>
          <t>Staging</t>
        </is>
      </c>
      <c r="G40" s="29" t="inlineStr">
        <is>
          <t>Chrome</t>
        </is>
      </c>
      <c r="H40" s="29" t="inlineStr">
        <is>
          <t>Android Phone</t>
        </is>
      </c>
      <c r="I40" s="29" t="inlineStr">
        <is>
          <t>Android</t>
        </is>
      </c>
      <c r="J40" s="29" t="inlineStr">
        <is>
          <t>Medium</t>
        </is>
      </c>
      <c r="K40" s="29" t="inlineStr">
        <is>
          <t>Medium</t>
        </is>
      </c>
      <c r="L40" s="29" t="inlineStr">
        <is>
          <t>Closed</t>
        </is>
      </c>
      <c r="M40" s="29" t="inlineStr">
        <is>
          <t>Product</t>
        </is>
      </c>
      <c r="N40" s="29" t="inlineStr">
        <is>
          <t>Raj Balani</t>
        </is>
      </c>
      <c r="O40" s="30" t="n">
        <v>46218</v>
      </c>
      <c r="P40" s="30" t="n">
        <v>46231</v>
      </c>
      <c r="Q40" s="29" t="inlineStr"/>
      <c r="R40" s="29" t="inlineStr">
        <is>
          <t>1.0.0</t>
        </is>
      </c>
      <c r="S40" s="29" t="inlineStr">
        <is>
          <t>Sprint 28</t>
        </is>
      </c>
      <c r="T40" s="29" t="inlineStr">
        <is>
          <t>UI Regression</t>
        </is>
      </c>
      <c r="U40" s="29" t="inlineStr">
        <is>
          <t>Parity with sidebar footer destinations</t>
        </is>
      </c>
      <c r="V40" s="29" t="inlineStr"/>
      <c r="W40" s="29" t="inlineStr"/>
      <c r="X40" s="29" t="inlineStr">
        <is>
          <t>FIXED QA sync pass</t>
        </is>
      </c>
    </row>
    <row r="41">
      <c r="A41" s="27" t="inlineStr">
        <is>
          <t>BUG-OPEN-11</t>
        </is>
      </c>
      <c r="B41" s="27" t="inlineStr">
        <is>
          <t>Stealth mode is cosmetic only</t>
        </is>
      </c>
      <c r="C41" s="27" t="inlineStr">
        <is>
          <t>No capture evasion</t>
        </is>
      </c>
      <c r="D41" s="27" t="inlineStr">
        <is>
          <t>Live Practice Coach</t>
        </is>
      </c>
      <c r="E41" s="27" t="inlineStr">
        <is>
          <t>Stealth mode</t>
        </is>
      </c>
      <c r="F41" s="27" t="inlineStr">
        <is>
          <t>Electron Dev</t>
        </is>
      </c>
      <c r="G41" s="27" t="inlineStr">
        <is>
          <t>Electron</t>
        </is>
      </c>
      <c r="H41" s="27" t="inlineStr">
        <is>
          <t>Desktop</t>
        </is>
      </c>
      <c r="I41" s="27" t="inlineStr">
        <is>
          <t>Windows</t>
        </is>
      </c>
      <c r="J41" s="27" t="inlineStr">
        <is>
          <t>Medium</t>
        </is>
      </c>
      <c r="K41" s="27" t="inlineStr">
        <is>
          <t>Medium</t>
        </is>
      </c>
      <c r="L41" s="27" t="inlineStr">
        <is>
          <t>Open</t>
        </is>
      </c>
      <c r="M41" s="27" t="inlineStr">
        <is>
          <t>Desktop</t>
        </is>
      </c>
      <c r="N41" s="27" t="inlineStr">
        <is>
          <t>Shreya Patil</t>
        </is>
      </c>
      <c r="O41" s="28" t="n">
        <v>46216</v>
      </c>
      <c r="P41" s="27" t="inlineStr"/>
      <c r="Q41" s="27" t="inlineStr"/>
      <c r="R41" s="27" t="inlineStr">
        <is>
          <t>1.0.0</t>
        </is>
      </c>
      <c r="S41" s="27" t="inlineStr">
        <is>
          <t>Sprint 25</t>
        </is>
      </c>
      <c r="T41" s="27" t="inlineStr">
        <is>
          <t>Design Gap</t>
        </is>
      </c>
      <c r="U41" s="27" t="inlineStr"/>
      <c r="V41" s="27" t="inlineStr"/>
      <c r="W41" s="27" t="inlineStr"/>
      <c r="X41" s="27" t="inlineStr">
        <is>
          <t>Roadmap / descope</t>
        </is>
      </c>
    </row>
    <row r="42">
      <c r="A42" s="29" t="inlineStr">
        <is>
          <t>BUG-OPEN-12</t>
        </is>
      </c>
      <c r="B42" s="29" t="inlineStr">
        <is>
          <t>Admin model costs save is stub</t>
        </is>
      </c>
      <c r="C42" s="29" t="inlineStr">
        <is>
          <t>Read-only AI_CREDIT_COSTS catalog; fake Save removed</t>
        </is>
      </c>
      <c r="D42" s="29" t="inlineStr">
        <is>
          <t>Admin Portal</t>
        </is>
      </c>
      <c r="E42" s="29" t="inlineStr">
        <is>
          <t>Admin model costs</t>
        </is>
      </c>
      <c r="F42" s="29" t="inlineStr">
        <is>
          <t>Staging</t>
        </is>
      </c>
      <c r="G42" s="29" t="inlineStr">
        <is>
          <t>Chrome</t>
        </is>
      </c>
      <c r="H42" s="29" t="inlineStr">
        <is>
          <t>Desktop</t>
        </is>
      </c>
      <c r="I42" s="29" t="inlineStr">
        <is>
          <t>Windows</t>
        </is>
      </c>
      <c r="J42" s="29" t="inlineStr">
        <is>
          <t>Medium</t>
        </is>
      </c>
      <c r="K42" s="29" t="inlineStr">
        <is>
          <t>Medium</t>
        </is>
      </c>
      <c r="L42" s="29" t="inlineStr">
        <is>
          <t>Closed</t>
        </is>
      </c>
      <c r="M42" s="29" t="inlineStr">
        <is>
          <t>Admin</t>
        </is>
      </c>
      <c r="N42" s="29" t="inlineStr">
        <is>
          <t>Raj Balani</t>
        </is>
      </c>
      <c r="O42" s="30" t="n">
        <v>46214</v>
      </c>
      <c r="P42" s="30" t="n">
        <v>46231</v>
      </c>
      <c r="Q42" s="29" t="inlineStr"/>
      <c r="R42" s="29" t="inlineStr">
        <is>
          <t>1.0.0</t>
        </is>
      </c>
      <c r="S42" s="29" t="inlineStr">
        <is>
          <t>Sprint 27</t>
        </is>
      </c>
      <c r="T42" s="29" t="inlineStr">
        <is>
          <t>Logic Bug</t>
        </is>
      </c>
      <c r="U42" s="29" t="inlineStr">
        <is>
          <t>Confirm no Save; values match creditEconomics</t>
        </is>
      </c>
      <c r="V42" s="29" t="inlineStr"/>
      <c r="W42" s="29" t="inlineStr"/>
      <c r="X42" s="29" t="inlineStr">
        <is>
          <t>FIXED launch pass</t>
        </is>
      </c>
    </row>
    <row r="43">
      <c r="A43" s="27" t="inlineStr">
        <is>
          <t>BUG-OPEN-13</t>
        </is>
      </c>
      <c r="B43" s="27" t="inlineStr">
        <is>
          <t>Admin support page read-only</t>
        </is>
      </c>
      <c r="C43" s="27" t="inlineStr">
        <is>
          <t>Deep-linked to Live Chat for replies</t>
        </is>
      </c>
      <c r="D43" s="27" t="inlineStr">
        <is>
          <t>Admin Portal</t>
        </is>
      </c>
      <c r="E43" s="27" t="inlineStr">
        <is>
          <t>Admin support page</t>
        </is>
      </c>
      <c r="F43" s="27" t="inlineStr">
        <is>
          <t>Staging</t>
        </is>
      </c>
      <c r="G43" s="27" t="inlineStr">
        <is>
          <t>Chrome</t>
        </is>
      </c>
      <c r="H43" s="27" t="inlineStr">
        <is>
          <t>Desktop</t>
        </is>
      </c>
      <c r="I43" s="27" t="inlineStr">
        <is>
          <t>Windows</t>
        </is>
      </c>
      <c r="J43" s="27" t="inlineStr">
        <is>
          <t>Low</t>
        </is>
      </c>
      <c r="K43" s="27" t="inlineStr">
        <is>
          <t>Low</t>
        </is>
      </c>
      <c r="L43" s="27" t="inlineStr">
        <is>
          <t>Closed</t>
        </is>
      </c>
      <c r="M43" s="27" t="inlineStr">
        <is>
          <t>Admin</t>
        </is>
      </c>
      <c r="N43" s="27" t="inlineStr">
        <is>
          <t>Raj Balani</t>
        </is>
      </c>
      <c r="O43" s="28" t="n">
        <v>46220</v>
      </c>
      <c r="P43" s="28" t="n">
        <v>46231</v>
      </c>
      <c r="Q43" s="27" t="inlineStr"/>
      <c r="R43" s="27" t="inlineStr">
        <is>
          <t>1.0.0</t>
        </is>
      </c>
      <c r="S43" s="27" t="inlineStr">
        <is>
          <t>Sprint 27</t>
        </is>
      </c>
      <c r="T43" s="27" t="inlineStr">
        <is>
          <t>Design Gap</t>
        </is>
      </c>
      <c r="U43" s="27" t="inlineStr">
        <is>
          <t>Open Support → Live Chat CTA</t>
        </is>
      </c>
      <c r="V43" s="27" t="inlineStr"/>
      <c r="W43" s="27" t="inlineStr"/>
      <c r="X43" s="27" t="inlineStr">
        <is>
          <t>FIXED launch pass</t>
        </is>
      </c>
    </row>
    <row r="44">
      <c r="A44" s="29" t="inlineStr">
        <is>
          <t>BUG-OPEN-14</t>
        </is>
      </c>
      <c r="B44" s="29" t="inlineStr">
        <is>
          <t>Admin QA checklist local only</t>
        </is>
      </c>
      <c r="C44" s="29" t="inlineStr">
        <is>
          <t>Honesty banner: localStorage this browser only</t>
        </is>
      </c>
      <c r="D44" s="29" t="inlineStr">
        <is>
          <t>Admin Portal</t>
        </is>
      </c>
      <c r="E44" s="29" t="inlineStr">
        <is>
          <t>Admin QA checklist</t>
        </is>
      </c>
      <c r="F44" s="29" t="inlineStr">
        <is>
          <t>Staging</t>
        </is>
      </c>
      <c r="G44" s="29" t="inlineStr">
        <is>
          <t>Chrome</t>
        </is>
      </c>
      <c r="H44" s="29" t="inlineStr">
        <is>
          <t>Desktop</t>
        </is>
      </c>
      <c r="I44" s="29" t="inlineStr">
        <is>
          <t>Windows</t>
        </is>
      </c>
      <c r="J44" s="29" t="inlineStr">
        <is>
          <t>Low</t>
        </is>
      </c>
      <c r="K44" s="29" t="inlineStr">
        <is>
          <t>Low</t>
        </is>
      </c>
      <c r="L44" s="29" t="inlineStr">
        <is>
          <t>Closed</t>
        </is>
      </c>
      <c r="M44" s="29" t="inlineStr">
        <is>
          <t>Admin</t>
        </is>
      </c>
      <c r="N44" s="29" t="inlineStr">
        <is>
          <t>Shreya Patil</t>
        </is>
      </c>
      <c r="O44" s="30" t="n">
        <v>46220</v>
      </c>
      <c r="P44" s="30" t="n">
        <v>46231</v>
      </c>
      <c r="Q44" s="29" t="inlineStr"/>
      <c r="R44" s="29" t="inlineStr">
        <is>
          <t>1.0.0</t>
        </is>
      </c>
      <c r="S44" s="29" t="inlineStr">
        <is>
          <t>Sprint 27</t>
        </is>
      </c>
      <c r="T44" s="29" t="inlineStr">
        <is>
          <t>Design Gap</t>
        </is>
      </c>
      <c r="U44" s="29" t="inlineStr">
        <is>
          <t>Confirm banner; no multi-user pretend</t>
        </is>
      </c>
      <c r="V44" s="29" t="inlineStr"/>
      <c r="W44" s="29" t="inlineStr"/>
      <c r="X44" s="29" t="inlineStr">
        <is>
          <t>FIXED launch pass (documented)</t>
        </is>
      </c>
    </row>
    <row r="45">
      <c r="A45" s="27" t="inlineStr">
        <is>
          <t>BUG-OPEN-15</t>
        </is>
      </c>
      <c r="B45" s="27" t="inlineStr">
        <is>
          <t>Exam papers browser mostly empty</t>
        </is>
      </c>
      <c r="C45" s="27" t="inlineStr">
        <is>
          <t>Many paper entries empty</t>
        </is>
      </c>
      <c r="D45" s="27" t="inlineStr">
        <is>
          <t>Gov Exam Mock Tests</t>
        </is>
      </c>
      <c r="E45" s="27" t="inlineStr">
        <is>
          <t>Exam papers browser</t>
        </is>
      </c>
      <c r="F45" s="27" t="inlineStr">
        <is>
          <t>Staging</t>
        </is>
      </c>
      <c r="G45" s="27" t="inlineStr">
        <is>
          <t>Chrome</t>
        </is>
      </c>
      <c r="H45" s="27" t="inlineStr">
        <is>
          <t>Desktop</t>
        </is>
      </c>
      <c r="I45" s="27" t="inlineStr">
        <is>
          <t>Windows</t>
        </is>
      </c>
      <c r="J45" s="27" t="inlineStr">
        <is>
          <t>Medium</t>
        </is>
      </c>
      <c r="K45" s="27" t="inlineStr">
        <is>
          <t>Medium</t>
        </is>
      </c>
      <c r="L45" s="27" t="inlineStr">
        <is>
          <t>Open</t>
        </is>
      </c>
      <c r="M45" s="27" t="inlineStr">
        <is>
          <t>GovExams</t>
        </is>
      </c>
      <c r="N45" s="27" t="inlineStr">
        <is>
          <t>Raj Balani</t>
        </is>
      </c>
      <c r="O45" s="28" t="n">
        <v>46212</v>
      </c>
      <c r="P45" s="27" t="inlineStr"/>
      <c r="Q45" s="27" t="inlineStr"/>
      <c r="R45" s="27" t="inlineStr">
        <is>
          <t>1.0.0</t>
        </is>
      </c>
      <c r="S45" s="27" t="inlineStr">
        <is>
          <t>Sprint 25</t>
        </is>
      </c>
      <c r="T45" s="27" t="inlineStr">
        <is>
          <t>Design Gap</t>
        </is>
      </c>
      <c r="U45" s="27" t="inlineStr"/>
      <c r="V45" s="27" t="inlineStr"/>
      <c r="W45" s="27" t="inlineStr"/>
      <c r="X45" s="27" t="inlineStr"/>
    </row>
    <row r="46">
      <c r="A46" s="29" t="inlineStr">
        <is>
          <t>BUG-OPEN-16</t>
        </is>
      </c>
      <c r="B46" s="29" t="inlineStr">
        <is>
          <t>Question scraper not deployed</t>
        </is>
      </c>
      <c r="C46" s="29" t="inlineStr">
        <is>
          <t>Code complete; no deploy</t>
        </is>
      </c>
      <c r="D46" s="29" t="inlineStr">
        <is>
          <t>Gov Exam Mock Tests</t>
        </is>
      </c>
      <c r="E46" s="29" t="inlineStr">
        <is>
          <t>Python scraper service</t>
        </is>
      </c>
      <c r="F46" s="29" t="inlineStr">
        <is>
          <t>N/A</t>
        </is>
      </c>
      <c r="G46" s="29" t="inlineStr">
        <is>
          <t>N/A</t>
        </is>
      </c>
      <c r="H46" s="29" t="inlineStr">
        <is>
          <t>Desktop</t>
        </is>
      </c>
      <c r="I46" s="29" t="inlineStr">
        <is>
          <t>Linux</t>
        </is>
      </c>
      <c r="J46" s="29" t="inlineStr">
        <is>
          <t>High</t>
        </is>
      </c>
      <c r="K46" s="29" t="inlineStr">
        <is>
          <t>High</t>
        </is>
      </c>
      <c r="L46" s="29" t="inlineStr">
        <is>
          <t>Open</t>
        </is>
      </c>
      <c r="M46" s="29" t="inlineStr">
        <is>
          <t>GovExams</t>
        </is>
      </c>
      <c r="N46" s="29" t="inlineStr">
        <is>
          <t>Raj Balani</t>
        </is>
      </c>
      <c r="O46" s="30" t="n">
        <v>46197</v>
      </c>
      <c r="P46" s="29" t="inlineStr"/>
      <c r="Q46" s="29" t="inlineStr"/>
      <c r="R46" s="29" t="inlineStr">
        <is>
          <t>1.0.0</t>
        </is>
      </c>
      <c r="S46" s="29" t="inlineStr">
        <is>
          <t>Sprint 22</t>
        </is>
      </c>
      <c r="T46" s="29" t="inlineStr">
        <is>
          <t>Config/Env</t>
        </is>
      </c>
      <c r="U46" s="29" t="inlineStr"/>
      <c r="V46" s="29" t="inlineStr"/>
      <c r="W46" s="29" t="inlineStr"/>
      <c r="X46" s="29" t="inlineStr">
        <is>
          <t>defer-with-roadmap</t>
        </is>
      </c>
    </row>
    <row r="47">
      <c r="A47" s="27" t="inlineStr">
        <is>
          <t>BUG-OPEN-17</t>
        </is>
      </c>
      <c r="B47" s="27" t="inlineStr">
        <is>
          <t>collect-exam-papers brittle</t>
        </is>
      </c>
      <c r="C47" s="27" t="inlineStr">
        <is>
          <t>Allowlist hosts / Gemini failures</t>
        </is>
      </c>
      <c r="D47" s="27" t="inlineStr">
        <is>
          <t>Gov Exam Mock Tests</t>
        </is>
      </c>
      <c r="E47" s="27" t="inlineStr">
        <is>
          <t>Collect exam papers</t>
        </is>
      </c>
      <c r="F47" s="27" t="inlineStr">
        <is>
          <t>Staging</t>
        </is>
      </c>
      <c r="G47" s="27" t="inlineStr">
        <is>
          <t>Chrome</t>
        </is>
      </c>
      <c r="H47" s="27" t="inlineStr">
        <is>
          <t>Desktop</t>
        </is>
      </c>
      <c r="I47" s="27" t="inlineStr">
        <is>
          <t>Windows</t>
        </is>
      </c>
      <c r="J47" s="27" t="inlineStr">
        <is>
          <t>Medium</t>
        </is>
      </c>
      <c r="K47" s="27" t="inlineStr">
        <is>
          <t>High</t>
        </is>
      </c>
      <c r="L47" s="27" t="inlineStr">
        <is>
          <t>Blocked</t>
        </is>
      </c>
      <c r="M47" s="27" t="inlineStr">
        <is>
          <t>GovExams</t>
        </is>
      </c>
      <c r="N47" s="27" t="inlineStr">
        <is>
          <t>Raj Balani</t>
        </is>
      </c>
      <c r="O47" s="28" t="n">
        <v>46224</v>
      </c>
      <c r="P47" s="27" t="inlineStr"/>
      <c r="Q47" s="27" t="inlineStr"/>
      <c r="R47" s="27" t="inlineStr">
        <is>
          <t>1.0.0</t>
        </is>
      </c>
      <c r="S47" s="27" t="inlineStr">
        <is>
          <t>Sprint 26</t>
        </is>
      </c>
      <c r="T47" s="27" t="inlineStr">
        <is>
          <t>Third-party</t>
        </is>
      </c>
      <c r="U47" s="27" t="inlineStr">
        <is>
          <t>Needs GEMINI_API_KEY + allowlisted hosts</t>
        </is>
      </c>
      <c r="V47" s="27" t="inlineStr"/>
      <c r="W47" s="27" t="inlineStr"/>
      <c r="X47" s="27" t="inlineStr">
        <is>
          <t>Ops/provider blocker</t>
        </is>
      </c>
    </row>
    <row r="48">
      <c r="A48" s="29" t="inlineStr">
        <is>
          <t>BUG-OPEN-18</t>
        </is>
      </c>
      <c r="B48" s="29" t="inlineStr">
        <is>
          <t>Windows binaries unsigned</t>
        </is>
      </c>
      <c r="C48" s="29" t="inlineStr">
        <is>
          <t>SmartScreen; signAndEditExecutable false</t>
        </is>
      </c>
      <c r="D48" s="29" t="inlineStr">
        <is>
          <t>Electron Desktop Overlay</t>
        </is>
      </c>
      <c r="E48" s="29" t="inlineStr">
        <is>
          <t>Code signing Windows</t>
        </is>
      </c>
      <c r="F48" s="29" t="inlineStr">
        <is>
          <t>Production</t>
        </is>
      </c>
      <c r="G48" s="29" t="inlineStr">
        <is>
          <t>N/A</t>
        </is>
      </c>
      <c r="H48" s="29" t="inlineStr">
        <is>
          <t>Desktop</t>
        </is>
      </c>
      <c r="I48" s="29" t="inlineStr">
        <is>
          <t>Windows</t>
        </is>
      </c>
      <c r="J48" s="29" t="inlineStr">
        <is>
          <t>High</t>
        </is>
      </c>
      <c r="K48" s="29" t="inlineStr">
        <is>
          <t>High</t>
        </is>
      </c>
      <c r="L48" s="29" t="inlineStr">
        <is>
          <t>Blocked</t>
        </is>
      </c>
      <c r="M48" s="29" t="inlineStr">
        <is>
          <t>Desktop</t>
        </is>
      </c>
      <c r="N48" s="29" t="inlineStr">
        <is>
          <t>Shreya Patil</t>
        </is>
      </c>
      <c r="O48" s="30" t="n">
        <v>46192</v>
      </c>
      <c r="P48" s="29" t="inlineStr"/>
      <c r="Q48" s="29" t="inlineStr"/>
      <c r="R48" s="29" t="inlineStr">
        <is>
          <t>1.0.0</t>
        </is>
      </c>
      <c r="S48" s="29" t="inlineStr">
        <is>
          <t>Sprint 22</t>
        </is>
      </c>
      <c r="T48" s="29" t="inlineStr">
        <is>
          <t>Config/Env</t>
        </is>
      </c>
      <c r="U48" s="29" t="inlineStr">
        <is>
          <t>Needs EV/OV code-signing certificate</t>
        </is>
      </c>
      <c r="V48" s="29" t="inlineStr"/>
      <c r="W48" s="29" t="inlineStr"/>
      <c r="X48" s="29" t="inlineStr">
        <is>
          <t>Ops blocker — no fake fix</t>
        </is>
      </c>
    </row>
    <row r="49">
      <c r="A49" s="27" t="inlineStr">
        <is>
          <t>BUG-OPEN-19</t>
        </is>
      </c>
      <c r="B49" s="27" t="inlineStr">
        <is>
          <t>Electron auto-update trust weak</t>
        </is>
      </c>
      <c r="C49" s="27" t="inlineStr">
        <is>
          <t>Unsigned update chain</t>
        </is>
      </c>
      <c r="D49" s="27" t="inlineStr">
        <is>
          <t>Electron Desktop Overlay</t>
        </is>
      </c>
      <c r="E49" s="27" t="inlineStr">
        <is>
          <t>Auto-update</t>
        </is>
      </c>
      <c r="F49" s="27" t="inlineStr">
        <is>
          <t>Production</t>
        </is>
      </c>
      <c r="G49" s="27" t="inlineStr">
        <is>
          <t>N/A</t>
        </is>
      </c>
      <c r="H49" s="27" t="inlineStr">
        <is>
          <t>Desktop</t>
        </is>
      </c>
      <c r="I49" s="27" t="inlineStr">
        <is>
          <t>Windows</t>
        </is>
      </c>
      <c r="J49" s="27" t="inlineStr">
        <is>
          <t>High</t>
        </is>
      </c>
      <c r="K49" s="27" t="inlineStr">
        <is>
          <t>High</t>
        </is>
      </c>
      <c r="L49" s="27" t="inlineStr">
        <is>
          <t>Blocked</t>
        </is>
      </c>
      <c r="M49" s="27" t="inlineStr">
        <is>
          <t>Desktop</t>
        </is>
      </c>
      <c r="N49" s="27" t="inlineStr">
        <is>
          <t>Shreya Patil</t>
        </is>
      </c>
      <c r="O49" s="28" t="n">
        <v>46202</v>
      </c>
      <c r="P49" s="27" t="inlineStr"/>
      <c r="Q49" s="27" t="inlineStr"/>
      <c r="R49" s="27" t="inlineStr">
        <is>
          <t>1.0.0</t>
        </is>
      </c>
      <c r="S49" s="27" t="inlineStr">
        <is>
          <t>Sprint 23</t>
        </is>
      </c>
      <c r="T49" s="27" t="inlineStr">
        <is>
          <t>Config/Env</t>
        </is>
      </c>
      <c r="U49" s="27" t="inlineStr">
        <is>
          <t>Depends on EV/OV signing cert</t>
        </is>
      </c>
      <c r="V49" s="27" t="inlineStr"/>
      <c r="W49" s="27" t="inlineStr"/>
      <c r="X49" s="27" t="inlineStr">
        <is>
          <t>Ops blocker</t>
        </is>
      </c>
    </row>
    <row r="50">
      <c r="A50" s="29" t="inlineStr">
        <is>
          <t>BUG-OPEN-20</t>
        </is>
      </c>
      <c r="B50" s="29" t="inlineStr">
        <is>
          <t>Low automated test coverage</t>
        </is>
      </c>
      <c r="C50" s="29" t="inlineStr">
        <is>
          <t>~5% real coverage; 794 it.todo placeholders</t>
        </is>
      </c>
      <c r="D50" s="29" t="inlineStr">
        <is>
          <t>Security &amp; Platform</t>
        </is>
      </c>
      <c r="E50" s="29" t="inlineStr">
        <is>
          <t>Unit/E2E coverage</t>
        </is>
      </c>
      <c r="F50" s="29" t="inlineStr">
        <is>
          <t>CI</t>
        </is>
      </c>
      <c r="G50" s="29" t="inlineStr">
        <is>
          <t>N/A</t>
        </is>
      </c>
      <c r="H50" s="29" t="inlineStr">
        <is>
          <t>Desktop</t>
        </is>
      </c>
      <c r="I50" s="29" t="inlineStr">
        <is>
          <t>Windows</t>
        </is>
      </c>
      <c r="J50" s="29" t="inlineStr">
        <is>
          <t>High</t>
        </is>
      </c>
      <c r="K50" s="29" t="inlineStr">
        <is>
          <t>High</t>
        </is>
      </c>
      <c r="L50" s="29" t="inlineStr">
        <is>
          <t>Open</t>
        </is>
      </c>
      <c r="M50" s="29" t="inlineStr">
        <is>
          <t>Platform</t>
        </is>
      </c>
      <c r="N50" s="29" t="inlineStr">
        <is>
          <t>Shreya Patil</t>
        </is>
      </c>
      <c r="O50" s="30" t="n">
        <v>46187</v>
      </c>
      <c r="P50" s="29" t="inlineStr"/>
      <c r="Q50" s="29" t="inlineStr"/>
      <c r="R50" s="29" t="inlineStr">
        <is>
          <t>1.0.0</t>
        </is>
      </c>
      <c r="S50" s="29" t="inlineStr">
        <is>
          <t>Sprint 20</t>
        </is>
      </c>
      <c r="T50" s="29" t="inlineStr">
        <is>
          <t>Design Gap</t>
        </is>
      </c>
      <c r="U50" s="29" t="inlineStr"/>
      <c r="V50" s="29" t="inlineStr"/>
      <c r="W50" s="29" t="inlineStr"/>
      <c r="X50" s="29" t="inlineStr">
        <is>
          <t>P4-4 ongoing</t>
        </is>
      </c>
    </row>
    <row r="51">
      <c r="A51" s="27" t="inlineStr">
        <is>
          <t>BUG-OPEN-21</t>
        </is>
      </c>
      <c r="B51" s="27" t="inlineStr">
        <is>
          <t>No Playwright run evidence</t>
        </is>
      </c>
      <c r="C51" s="27" t="inlineStr">
        <is>
          <t>10 specs; no report artifacts</t>
        </is>
      </c>
      <c r="D51" s="27" t="inlineStr">
        <is>
          <t>Security &amp; Platform</t>
        </is>
      </c>
      <c r="E51" s="27" t="inlineStr">
        <is>
          <t>Unit/E2E coverage</t>
        </is>
      </c>
      <c r="F51" s="27" t="inlineStr">
        <is>
          <t>CI</t>
        </is>
      </c>
      <c r="G51" s="27" t="inlineStr">
        <is>
          <t>N/A</t>
        </is>
      </c>
      <c r="H51" s="27" t="inlineStr">
        <is>
          <t>Desktop</t>
        </is>
      </c>
      <c r="I51" s="27" t="inlineStr">
        <is>
          <t>Windows</t>
        </is>
      </c>
      <c r="J51" s="27" t="inlineStr">
        <is>
          <t>Medium</t>
        </is>
      </c>
      <c r="K51" s="27" t="inlineStr">
        <is>
          <t>High</t>
        </is>
      </c>
      <c r="L51" s="27" t="inlineStr">
        <is>
          <t>Open</t>
        </is>
      </c>
      <c r="M51" s="27" t="inlineStr">
        <is>
          <t>Platform</t>
        </is>
      </c>
      <c r="N51" s="27" t="inlineStr">
        <is>
          <t>Shreya Patil</t>
        </is>
      </c>
      <c r="O51" s="28" t="n">
        <v>46187</v>
      </c>
      <c r="P51" s="27" t="inlineStr"/>
      <c r="Q51" s="27" t="inlineStr"/>
      <c r="R51" s="27" t="inlineStr">
        <is>
          <t>1.0.0</t>
        </is>
      </c>
      <c r="S51" s="27" t="inlineStr">
        <is>
          <t>Sprint 20</t>
        </is>
      </c>
      <c r="T51" s="27" t="inlineStr">
        <is>
          <t>Unknown</t>
        </is>
      </c>
      <c r="U51" s="27" t="inlineStr"/>
      <c r="V51" s="27" t="inlineStr"/>
      <c r="W51" s="27" t="inlineStr"/>
      <c r="X51" s="27" t="inlineStr"/>
    </row>
    <row r="52">
      <c r="A52" s="29" t="inlineStr">
        <is>
          <t>BUG-OPEN-22</t>
        </is>
      </c>
      <c r="B52" s="29" t="inlineStr">
        <is>
          <t>Baseline schema incomplete in migrations</t>
        </is>
      </c>
      <c r="C52" s="29" t="inlineStr">
        <is>
          <t>Some tables still need staging dump DDL</t>
        </is>
      </c>
      <c r="D52" s="29" t="inlineStr">
        <is>
          <t>Security &amp; Platform</t>
        </is>
      </c>
      <c r="E52" s="29" t="inlineStr">
        <is>
          <t>RLS + edge shared libs</t>
        </is>
      </c>
      <c r="F52" s="29" t="inlineStr">
        <is>
          <t>Local</t>
        </is>
      </c>
      <c r="G52" s="29" t="inlineStr">
        <is>
          <t>N/A</t>
        </is>
      </c>
      <c r="H52" s="29" t="inlineStr">
        <is>
          <t>Desktop</t>
        </is>
      </c>
      <c r="I52" s="29" t="inlineStr">
        <is>
          <t>Windows</t>
        </is>
      </c>
      <c r="J52" s="29" t="inlineStr">
        <is>
          <t>High</t>
        </is>
      </c>
      <c r="K52" s="29" t="inlineStr">
        <is>
          <t>High</t>
        </is>
      </c>
      <c r="L52" s="29" t="inlineStr">
        <is>
          <t>Open</t>
        </is>
      </c>
      <c r="M52" s="29" t="inlineStr">
        <is>
          <t>Platform</t>
        </is>
      </c>
      <c r="N52" s="29" t="inlineStr">
        <is>
          <t>Shreya Patil</t>
        </is>
      </c>
      <c r="O52" s="30" t="n">
        <v>46222</v>
      </c>
      <c r="P52" s="29" t="inlineStr"/>
      <c r="Q52" s="29" t="inlineStr"/>
      <c r="R52" s="29" t="inlineStr">
        <is>
          <t>1.0.0</t>
        </is>
      </c>
      <c r="S52" s="29" t="inlineStr">
        <is>
          <t>Sprint 26</t>
        </is>
      </c>
      <c r="T52" s="29" t="inlineStr">
        <is>
          <t>Config/Env</t>
        </is>
      </c>
      <c r="U52" s="29" t="inlineStr">
        <is>
          <t>Partial IF NOT EXISTS recovery shipped</t>
        </is>
      </c>
      <c r="V52" s="29" t="inlineStr"/>
      <c r="W52" s="29" t="inlineStr"/>
      <c r="X52" s="29" t="inlineStr">
        <is>
          <t>P4-5 partial</t>
        </is>
      </c>
    </row>
    <row r="53">
      <c r="A53" s="27" t="inlineStr">
        <is>
          <t>BUG-OPEN-23</t>
        </is>
      </c>
      <c r="B53" s="27" t="inlineStr">
        <is>
          <t>deduct_credits RPC cannot service-role arbitrary user</t>
        </is>
      </c>
      <c r="C53" s="27" t="inlineStr">
        <is>
          <t>M4 deferred; JS gte path retained</t>
        </is>
      </c>
      <c r="D53" s="27" t="inlineStr">
        <is>
          <t>Billing &amp; Credits</t>
        </is>
      </c>
      <c r="E53" s="27" t="inlineStr">
        <is>
          <t>Credits ledger</t>
        </is>
      </c>
      <c r="F53" s="27" t="inlineStr">
        <is>
          <t>Staging</t>
        </is>
      </c>
      <c r="G53" s="27" t="inlineStr">
        <is>
          <t>N/A</t>
        </is>
      </c>
      <c r="H53" s="27" t="inlineStr">
        <is>
          <t>Desktop</t>
        </is>
      </c>
      <c r="I53" s="27" t="inlineStr">
        <is>
          <t>Windows</t>
        </is>
      </c>
      <c r="J53" s="27" t="inlineStr">
        <is>
          <t>Medium</t>
        </is>
      </c>
      <c r="K53" s="27" t="inlineStr">
        <is>
          <t>High</t>
        </is>
      </c>
      <c r="L53" s="27" t="inlineStr">
        <is>
          <t>Open</t>
        </is>
      </c>
      <c r="M53" s="27" t="inlineStr">
        <is>
          <t>Billing</t>
        </is>
      </c>
      <c r="N53" s="27" t="inlineStr">
        <is>
          <t>Shreya Patil</t>
        </is>
      </c>
      <c r="O53" s="28" t="n">
        <v>46227</v>
      </c>
      <c r="P53" s="27" t="inlineStr"/>
      <c r="Q53" s="27" t="inlineStr"/>
      <c r="R53" s="27" t="inlineStr">
        <is>
          <t>1.0.0</t>
        </is>
      </c>
      <c r="S53" s="27" t="inlineStr">
        <is>
          <t>Sprint 26</t>
        </is>
      </c>
      <c r="T53" s="27" t="inlineStr">
        <is>
          <t>API Contract</t>
        </is>
      </c>
      <c r="U53" s="27" t="inlineStr"/>
      <c r="V53" s="27" t="inlineStr"/>
      <c r="W53" s="27" t="inlineStr"/>
      <c r="X53" s="27" t="inlineStr">
        <is>
          <t>M4 DEFERRED</t>
        </is>
      </c>
    </row>
    <row r="54">
      <c r="A54" s="29" t="inlineStr">
        <is>
          <t>BUG-OPEN-24</t>
        </is>
      </c>
      <c r="B54" s="29" t="inlineStr">
        <is>
          <t>Privacy settings toggles unused</t>
        </is>
      </c>
      <c r="C54" s="29" t="inlineStr">
        <is>
          <t>Analytics opt-out enforced; other prefs honesty-labelled</t>
        </is>
      </c>
      <c r="D54" s="29" t="inlineStr">
        <is>
          <t>Settings</t>
        </is>
      </c>
      <c r="E54" s="29" t="inlineStr">
        <is>
          <t>Privacy toggles</t>
        </is>
      </c>
      <c r="F54" s="29" t="inlineStr">
        <is>
          <t>Staging</t>
        </is>
      </c>
      <c r="G54" s="29" t="inlineStr">
        <is>
          <t>Chrome</t>
        </is>
      </c>
      <c r="H54" s="29" t="inlineStr">
        <is>
          <t>Desktop</t>
        </is>
      </c>
      <c r="I54" s="29" t="inlineStr">
        <is>
          <t>Windows</t>
        </is>
      </c>
      <c r="J54" s="29" t="inlineStr">
        <is>
          <t>Medium</t>
        </is>
      </c>
      <c r="K54" s="29" t="inlineStr">
        <is>
          <t>Medium</t>
        </is>
      </c>
      <c r="L54" s="29" t="inlineStr">
        <is>
          <t>Closed</t>
        </is>
      </c>
      <c r="M54" s="29" t="inlineStr">
        <is>
          <t>Platform</t>
        </is>
      </c>
      <c r="N54" s="29" t="inlineStr">
        <is>
          <t>Raj Balani</t>
        </is>
      </c>
      <c r="O54" s="30" t="n">
        <v>46214</v>
      </c>
      <c r="P54" s="30" t="n">
        <v>46231</v>
      </c>
      <c r="Q54" s="29" t="inlineStr"/>
      <c r="R54" s="29" t="inlineStr">
        <is>
          <t>1.0.0</t>
        </is>
      </c>
      <c r="S54" s="29" t="inlineStr">
        <is>
          <t>Sprint 27</t>
        </is>
      </c>
      <c r="T54" s="29" t="inlineStr">
        <is>
          <t>Logic Bug</t>
        </is>
      </c>
      <c r="U54" s="29" t="inlineStr">
        <is>
          <t>Toggle analytics off → PostHog opt-out</t>
        </is>
      </c>
      <c r="V54" s="29" t="inlineStr"/>
      <c r="W54" s="29" t="inlineStr"/>
      <c r="X54" s="29" t="inlineStr">
        <is>
          <t>FIXED launch pass</t>
        </is>
      </c>
    </row>
    <row r="55">
      <c r="A55" s="27" t="inlineStr">
        <is>
          <t>BUG-OPEN-25</t>
        </is>
      </c>
      <c r="B55" s="27" t="inlineStr">
        <is>
          <t>Retention polish not enforced</t>
        </is>
      </c>
      <c r="C55" s="27" t="inlineStr">
        <is>
          <t>Settings exist; no enforcement</t>
        </is>
      </c>
      <c r="D55" s="27" t="inlineStr">
        <is>
          <t>Settings</t>
        </is>
      </c>
      <c r="E55" s="27" t="inlineStr">
        <is>
          <t>Retention polish</t>
        </is>
      </c>
      <c r="F55" s="27" t="inlineStr">
        <is>
          <t>Staging</t>
        </is>
      </c>
      <c r="G55" s="27" t="inlineStr">
        <is>
          <t>Chrome</t>
        </is>
      </c>
      <c r="H55" s="27" t="inlineStr">
        <is>
          <t>Desktop</t>
        </is>
      </c>
      <c r="I55" s="27" t="inlineStr">
        <is>
          <t>Windows</t>
        </is>
      </c>
      <c r="J55" s="27" t="inlineStr">
        <is>
          <t>Low</t>
        </is>
      </c>
      <c r="K55" s="27" t="inlineStr">
        <is>
          <t>Low</t>
        </is>
      </c>
      <c r="L55" s="27" t="inlineStr">
        <is>
          <t>Open</t>
        </is>
      </c>
      <c r="M55" s="27" t="inlineStr">
        <is>
          <t>Platform</t>
        </is>
      </c>
      <c r="N55" s="27" t="inlineStr">
        <is>
          <t>Raj Balani</t>
        </is>
      </c>
      <c r="O55" s="28" t="n">
        <v>46214</v>
      </c>
      <c r="P55" s="27" t="inlineStr"/>
      <c r="Q55" s="27" t="inlineStr"/>
      <c r="R55" s="27" t="inlineStr">
        <is>
          <t>1.0.0</t>
        </is>
      </c>
      <c r="S55" s="27" t="inlineStr">
        <is>
          <t>Sprint 25</t>
        </is>
      </c>
      <c r="T55" s="27" t="inlineStr">
        <is>
          <t>Design Gap</t>
        </is>
      </c>
      <c r="U55" s="27" t="inlineStr"/>
      <c r="V55" s="27" t="inlineStr"/>
      <c r="W55" s="27" t="inlineStr"/>
      <c r="X55" s="27" t="inlineStr"/>
    </row>
    <row r="56">
      <c r="A56" s="29" t="inlineStr">
        <is>
          <t>BUG-OPEN-26</t>
        </is>
      </c>
      <c r="B56" s="29" t="inlineStr">
        <is>
          <t>Interview reminders need Resend</t>
        </is>
      </c>
      <c r="C56" s="29" t="inlineStr">
        <is>
          <t>Feature blocked without email secret</t>
        </is>
      </c>
      <c r="D56" s="29" t="inlineStr">
        <is>
          <t>Interviews &amp; Calendar</t>
        </is>
      </c>
      <c r="E56" s="29" t="inlineStr">
        <is>
          <t>Interview email reminders</t>
        </is>
      </c>
      <c r="F56" s="29" t="inlineStr">
        <is>
          <t>Staging</t>
        </is>
      </c>
      <c r="G56" s="29" t="inlineStr">
        <is>
          <t>Chrome</t>
        </is>
      </c>
      <c r="H56" s="29" t="inlineStr">
        <is>
          <t>Desktop</t>
        </is>
      </c>
      <c r="I56" s="29" t="inlineStr">
        <is>
          <t>Windows</t>
        </is>
      </c>
      <c r="J56" s="29" t="inlineStr">
        <is>
          <t>Medium</t>
        </is>
      </c>
      <c r="K56" s="29" t="inlineStr">
        <is>
          <t>Medium</t>
        </is>
      </c>
      <c r="L56" s="29" t="inlineStr">
        <is>
          <t>Blocked</t>
        </is>
      </c>
      <c r="M56" s="29" t="inlineStr">
        <is>
          <t>Scheduling</t>
        </is>
      </c>
      <c r="N56" s="29" t="inlineStr">
        <is>
          <t>Raj Balani</t>
        </is>
      </c>
      <c r="O56" s="30" t="n">
        <v>46223</v>
      </c>
      <c r="P56" s="29" t="inlineStr"/>
      <c r="Q56" s="29" t="inlineStr"/>
      <c r="R56" s="29" t="inlineStr">
        <is>
          <t>1.0.0</t>
        </is>
      </c>
      <c r="S56" s="29" t="inlineStr">
        <is>
          <t>Sprint 26</t>
        </is>
      </c>
      <c r="T56" s="29" t="inlineStr">
        <is>
          <t>Config/Env</t>
        </is>
      </c>
      <c r="U56" s="29" t="inlineStr">
        <is>
          <t>Needs RESEND_API_KEY in Edge secrets</t>
        </is>
      </c>
      <c r="V56" s="29" t="inlineStr"/>
      <c r="W56" s="29" t="inlineStr"/>
      <c r="X56" s="29" t="inlineStr">
        <is>
          <t>Ops blocker — no fake fix</t>
        </is>
      </c>
    </row>
    <row r="57">
      <c r="A57" s="27" t="inlineStr">
        <is>
          <t>BUG-OPEN-27</t>
        </is>
      </c>
      <c r="B57" s="27" t="inlineStr">
        <is>
          <t>Live coach desktop-first on mobile</t>
        </is>
      </c>
      <c r="C57" s="27" t="inlineStr">
        <is>
          <t>Poor mobile live experience</t>
        </is>
      </c>
      <c r="D57" s="27" t="inlineStr">
        <is>
          <t>Live Practice Coach</t>
        </is>
      </c>
      <c r="E57" s="27" t="inlineStr">
        <is>
          <t>Live Practice Coach session</t>
        </is>
      </c>
      <c r="F57" s="27" t="inlineStr">
        <is>
          <t>Staging</t>
        </is>
      </c>
      <c r="G57" s="27" t="inlineStr">
        <is>
          <t>Chrome</t>
        </is>
      </c>
      <c r="H57" s="27" t="inlineStr">
        <is>
          <t>iPhone</t>
        </is>
      </c>
      <c r="I57" s="27" t="inlineStr">
        <is>
          <t>iOS</t>
        </is>
      </c>
      <c r="J57" s="27" t="inlineStr">
        <is>
          <t>Medium</t>
        </is>
      </c>
      <c r="K57" s="27" t="inlineStr">
        <is>
          <t>Medium</t>
        </is>
      </c>
      <c r="L57" s="27" t="inlineStr">
        <is>
          <t>Open</t>
        </is>
      </c>
      <c r="M57" s="27" t="inlineStr">
        <is>
          <t>Live Coach</t>
        </is>
      </c>
      <c r="N57" s="27" t="inlineStr">
        <is>
          <t>Shreya Patil</t>
        </is>
      </c>
      <c r="O57" s="28" t="n">
        <v>46225</v>
      </c>
      <c r="P57" s="27" t="inlineStr"/>
      <c r="Q57" s="27" t="inlineStr"/>
      <c r="R57" s="27" t="inlineStr">
        <is>
          <t>1.0.0</t>
        </is>
      </c>
      <c r="S57" s="27" t="inlineStr">
        <is>
          <t>Sprint 26</t>
        </is>
      </c>
      <c r="T57" s="27" t="inlineStr">
        <is>
          <t>UI Regression</t>
        </is>
      </c>
      <c r="U57" s="27" t="inlineStr"/>
      <c r="V57" s="27" t="inlineStr">
        <is>
          <t>https://example.com/live-mobile.png</t>
        </is>
      </c>
      <c r="W57" s="27" t="inlineStr"/>
      <c r="X57" s="27" t="inlineStr"/>
    </row>
    <row r="58">
      <c r="A58" s="29" t="inlineStr">
        <is>
          <t>BUG-OPEN-28</t>
        </is>
      </c>
      <c r="B58" s="29" t="inlineStr">
        <is>
          <t>Admin tables poor on small screens</t>
        </is>
      </c>
      <c r="C58" s="29" t="inlineStr">
        <is>
          <t>overflow-x-auto on ModelCosts/Support/Revenue tables</t>
        </is>
      </c>
      <c r="D58" s="29" t="inlineStr">
        <is>
          <t>Admin Portal</t>
        </is>
      </c>
      <c r="E58" s="29" t="inlineStr">
        <is>
          <t>Admin users management</t>
        </is>
      </c>
      <c r="F58" s="29" t="inlineStr">
        <is>
          <t>Staging</t>
        </is>
      </c>
      <c r="G58" s="29" t="inlineStr">
        <is>
          <t>Chrome</t>
        </is>
      </c>
      <c r="H58" s="29" t="inlineStr">
        <is>
          <t>Android Phone</t>
        </is>
      </c>
      <c r="I58" s="29" t="inlineStr">
        <is>
          <t>Android</t>
        </is>
      </c>
      <c r="J58" s="29" t="inlineStr">
        <is>
          <t>Low</t>
        </is>
      </c>
      <c r="K58" s="29" t="inlineStr">
        <is>
          <t>Low</t>
        </is>
      </c>
      <c r="L58" s="29" t="inlineStr">
        <is>
          <t>Closed</t>
        </is>
      </c>
      <c r="M58" s="29" t="inlineStr">
        <is>
          <t>Admin</t>
        </is>
      </c>
      <c r="N58" s="29" t="inlineStr">
        <is>
          <t>Raj Balani</t>
        </is>
      </c>
      <c r="O58" s="30" t="n">
        <v>46226</v>
      </c>
      <c r="P58" s="30" t="n">
        <v>46231</v>
      </c>
      <c r="Q58" s="29" t="inlineStr"/>
      <c r="R58" s="29" t="inlineStr">
        <is>
          <t>1.0.0</t>
        </is>
      </c>
      <c r="S58" s="29" t="inlineStr">
        <is>
          <t>Sprint 28</t>
        </is>
      </c>
      <c r="T58" s="29" t="inlineStr">
        <is>
          <t>UI Regression</t>
        </is>
      </c>
      <c r="U58" s="29" t="inlineStr">
        <is>
          <t>Retest Model Costs + Support + Revenue on phone</t>
        </is>
      </c>
      <c r="V58" s="29" t="inlineStr"/>
      <c r="W58" s="29" t="inlineStr"/>
      <c r="X58" s="29" t="inlineStr">
        <is>
          <t>FIXED QA sync pass</t>
        </is>
      </c>
    </row>
    <row r="59">
      <c r="A59" s="27" t="inlineStr">
        <is>
          <t>BUG-OPEN-29</t>
        </is>
      </c>
      <c r="B59" s="27" t="inlineStr">
        <is>
          <t>Group Practice still referenced historically</t>
        </is>
      </c>
      <c r="C59" s="27" t="inlineStr">
        <is>
          <t>Routes redirect; WebRTC descope</t>
        </is>
      </c>
      <c r="D59" s="27" t="inlineStr">
        <is>
          <t>Referrals &amp; Guide</t>
        </is>
      </c>
      <c r="E59" s="27" t="inlineStr">
        <is>
          <t>In-app Guide/Help</t>
        </is>
      </c>
      <c r="F59" s="27" t="inlineStr">
        <is>
          <t>Staging</t>
        </is>
      </c>
      <c r="G59" s="27" t="inlineStr">
        <is>
          <t>Chrome</t>
        </is>
      </c>
      <c r="H59" s="27" t="inlineStr">
        <is>
          <t>Desktop</t>
        </is>
      </c>
      <c r="I59" s="27" t="inlineStr">
        <is>
          <t>Windows</t>
        </is>
      </c>
      <c r="J59" s="27" t="inlineStr">
        <is>
          <t>Low</t>
        </is>
      </c>
      <c r="K59" s="27" t="inlineStr">
        <is>
          <t>Low</t>
        </is>
      </c>
      <c r="L59" s="27" t="inlineStr">
        <is>
          <t>Closed</t>
        </is>
      </c>
      <c r="M59" s="27" t="inlineStr">
        <is>
          <t>Growth</t>
        </is>
      </c>
      <c r="N59" s="27" t="inlineStr">
        <is>
          <t>Shreya Patil</t>
        </is>
      </c>
      <c r="O59" s="28" t="n">
        <v>46220</v>
      </c>
      <c r="P59" s="28" t="n">
        <v>46230</v>
      </c>
      <c r="Q59" s="27" t="inlineStr"/>
      <c r="R59" s="27" t="inlineStr">
        <is>
          <t>1.0.0</t>
        </is>
      </c>
      <c r="S59" s="27" t="inlineStr">
        <is>
          <t>Sprint 26</t>
        </is>
      </c>
      <c r="T59" s="27" t="inlineStr">
        <is>
          <t>Design Gap</t>
        </is>
      </c>
      <c r="U59" s="27" t="inlineStr">
        <is>
          <t>Copy updated coming soon</t>
        </is>
      </c>
      <c r="V59" s="27" t="inlineStr"/>
      <c r="W59" s="27" t="inlineStr"/>
      <c r="X59" s="27" t="inlineStr"/>
    </row>
    <row r="60">
      <c r="A60" s="29" t="inlineStr">
        <is>
          <t>BUG-OPEN-30</t>
        </is>
      </c>
      <c r="B60" s="29" t="inlineStr">
        <is>
          <t>Anon key rotation still required</t>
        </is>
      </c>
      <c r="C60" s="29" t="inlineStr">
        <is>
          <t>Historical .env.production exposure</t>
        </is>
      </c>
      <c r="D60" s="29" t="inlineStr">
        <is>
          <t>Security &amp; Platform</t>
        </is>
      </c>
      <c r="E60" s="29" t="inlineStr">
        <is>
          <t>RLS + edge shared libs</t>
        </is>
      </c>
      <c r="F60" s="29" t="inlineStr">
        <is>
          <t>Production</t>
        </is>
      </c>
      <c r="G60" s="29" t="inlineStr">
        <is>
          <t>N/A</t>
        </is>
      </c>
      <c r="H60" s="29" t="inlineStr">
        <is>
          <t>Desktop</t>
        </is>
      </c>
      <c r="I60" s="29" t="inlineStr">
        <is>
          <t>Windows</t>
        </is>
      </c>
      <c r="J60" s="29" t="inlineStr">
        <is>
          <t>High</t>
        </is>
      </c>
      <c r="K60" s="29" t="inlineStr">
        <is>
          <t>Critical</t>
        </is>
      </c>
      <c r="L60" s="29" t="inlineStr">
        <is>
          <t>Blocked</t>
        </is>
      </c>
      <c r="M60" s="29" t="inlineStr">
        <is>
          <t>Platform</t>
        </is>
      </c>
      <c r="N60" s="29" t="inlineStr">
        <is>
          <t>Shreya Patil</t>
        </is>
      </c>
      <c r="O60" s="30" t="n">
        <v>46229</v>
      </c>
      <c r="P60" s="29" t="inlineStr"/>
      <c r="Q60" s="29" t="inlineStr"/>
      <c r="R60" s="29" t="inlineStr">
        <is>
          <t>1.0.0</t>
        </is>
      </c>
      <c r="S60" s="29" t="inlineStr">
        <is>
          <t>Sprint 26</t>
        </is>
      </c>
      <c r="T60" s="29" t="inlineStr">
        <is>
          <t>Config/Env</t>
        </is>
      </c>
      <c r="U60" s="29" t="inlineStr">
        <is>
          <t>Rotate anon key in Supabase Dashboard only</t>
        </is>
      </c>
      <c r="V60" s="29" t="inlineStr"/>
      <c r="W60" s="29" t="inlineStr"/>
      <c r="X60" s="29" t="inlineStr">
        <is>
          <t>Ops blocker — cannot rotate from repo</t>
        </is>
      </c>
    </row>
    <row r="63">
      <c r="A63" s="3" t="inlineStr">
        <is>
          <t>WORKFLOW</t>
        </is>
      </c>
      <c r="B63" t="inlineStr">
        <is>
          <t>QA (Shreya/Raj) files bug → set Reported By + Assigned To (dev) → Dev Tasks sheet mirrors this row → Dev fixes → Status=Fixed/Retest → QA retests → Closed. Filter Status / Reported By like slicers.</t>
        </is>
      </c>
    </row>
  </sheetData>
  <autoFilter ref="A2:X60"/>
  <mergeCells count="2">
    <mergeCell ref="B63:J63"/>
    <mergeCell ref="A1:H1"/>
  </mergeCells>
  <conditionalFormatting sqref="J3:J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K3:K500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dataValidations count="11">
    <dataValidation sqref="D3:D5000" showDropDown="0" showInputMessage="0" showErrorMessage="0" allowBlank="1" errorTitle="Invalid" error="Pick a value from the list" type="list">
      <formula1>Lists!$Z$2:$Z$23</formula1>
    </dataValidation>
    <dataValidation sqref="F3:F5000" showDropDown="0" showInputMessage="0" showErrorMessage="0" allowBlank="1" errorTitle="Invalid" error="Pick a value from the list" type="list">
      <formula1>Lists!$E$2:$E$7</formula1>
    </dataValidation>
    <dataValidation sqref="G3:G5000" showDropDown="0" showInputMessage="0" showErrorMessage="0" allowBlank="1" errorTitle="Invalid" error="Pick a value from the list" type="list">
      <formula1>Lists!$F$2:$F$7</formula1>
    </dataValidation>
    <dataValidation sqref="H3:H5000" showDropDown="0" showInputMessage="0" showErrorMessage="0" allowBlank="1" errorTitle="Invalid" error="Pick a value from the list" type="list">
      <formula1>Lists!$G$2:$G$7</formula1>
    </dataValidation>
    <dataValidation sqref="J3:J5000" showDropDown="0" showInputMessage="0" showErrorMessage="0" allowBlank="1" errorTitle="Invalid" error="Pick a value from the list" type="list">
      <formula1>Lists!$D$2:$D$5</formula1>
    </dataValidation>
    <dataValidation sqref="K3:K5000" showDropDown="0" showInputMessage="0" showErrorMessage="0" allowBlank="1" errorTitle="Invalid" error="Pick a value from the list" type="list">
      <formula1>Lists!$C$2:$C$5</formula1>
    </dataValidation>
    <dataValidation sqref="L3:L5000" showDropDown="0" showInputMessage="0" showErrorMessage="0" allowBlank="1" errorTitle="Invalid" error="Pick a value from the list" type="list">
      <formula1>Lists!$K$2:$K$9</formula1>
    </dataValidation>
    <dataValidation sqref="M3:M5000" showDropDown="0" showInputMessage="0" showErrorMessage="0" allowBlank="1" errorTitle="Invalid" error="Pick a value from the list" type="list">
      <formula1>Lists!$AL$2:$AL$22</formula1>
    </dataValidation>
    <dataValidation sqref="N3:N5000" showDropDown="0" showInputMessage="0" showErrorMessage="0" allowBlank="1" errorTitle="Invalid" error="Pick a value from the list" type="list">
      <formula1>Lists!$AC$2:$AC$3</formula1>
    </dataValidation>
    <dataValidation sqref="S3:S5000" showDropDown="0" showInputMessage="0" showErrorMessage="0" allowBlank="1" errorTitle="Invalid" error="Pick a value from the list" type="list">
      <formula1>Lists!$W$2:$W$6</formula1>
    </dataValidation>
    <dataValidation sqref="T3:T5000" showDropDown="0" showInputMessage="0" showErrorMessage="0" allowBlank="1" errorTitle="Invalid" error="Pick a value from the list" type="list">
      <formula1>Lists!$Y$2:$Y$11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N1" r:id="rId4"/>
    <hyperlink xmlns:r="http://schemas.openxmlformats.org/officeDocument/2006/relationships" ref="O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UI/UX Testing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Screen</t>
        </is>
      </c>
      <c r="B2" s="26" t="inlineStr">
        <is>
          <t>Component</t>
        </is>
      </c>
      <c r="C2" s="26" t="inlineStr">
        <is>
          <t>Alignment</t>
        </is>
      </c>
      <c r="D2" s="26" t="inlineStr">
        <is>
          <t>Spacing</t>
        </is>
      </c>
      <c r="E2" s="26" t="inlineStr">
        <is>
          <t>Responsive</t>
        </is>
      </c>
      <c r="F2" s="26" t="inlineStr">
        <is>
          <t>Typography</t>
        </is>
      </c>
      <c r="G2" s="26" t="inlineStr">
        <is>
          <t>Icons</t>
        </is>
      </c>
      <c r="H2" s="26" t="inlineStr">
        <is>
          <t>Accessibility</t>
        </is>
      </c>
      <c r="I2" s="26" t="inlineStr">
        <is>
          <t>Dark Mode</t>
        </is>
      </c>
      <c r="J2" s="26" t="inlineStr">
        <is>
          <t>Light Mode</t>
        </is>
      </c>
      <c r="K2" s="26" t="inlineStr">
        <is>
          <t>Animation</t>
        </is>
      </c>
      <c r="L2" s="26" t="inlineStr">
        <is>
          <t>Pass</t>
        </is>
      </c>
      <c r="M2" s="26" t="inlineStr">
        <is>
          <t>Remarks</t>
        </is>
      </c>
    </row>
    <row r="3">
      <c r="A3" s="27" t="inlineStr">
        <is>
          <t>/pricing</t>
        </is>
      </c>
      <c r="B3" s="27" t="inlineStr">
        <is>
          <t>Plan cards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Partial</t>
        </is>
      </c>
      <c r="I3" s="27" t="inlineStr">
        <is>
          <t>Pass</t>
        </is>
      </c>
      <c r="J3" s="27" t="inlineStr">
        <is>
          <t>Pass</t>
        </is>
      </c>
      <c r="K3" s="27" t="inlineStr">
        <is>
          <t>Pass</t>
        </is>
      </c>
      <c r="L3" s="27" t="inlineStr">
        <is>
          <t>Pass</t>
        </is>
      </c>
      <c r="M3" s="27" t="inlineStr">
        <is>
          <t>Max $79</t>
        </is>
      </c>
    </row>
    <row r="4">
      <c r="A4" s="29" t="inlineStr">
        <is>
          <t>/app/live</t>
        </is>
      </c>
      <c r="B4" s="29" t="inlineStr">
        <is>
          <t>Transcript panel</t>
        </is>
      </c>
      <c r="C4" s="29" t="inlineStr">
        <is>
          <t>Pass</t>
        </is>
      </c>
      <c r="D4" s="29" t="inlineStr">
        <is>
          <t>Pass</t>
        </is>
      </c>
      <c r="E4" s="29" t="inlineStr">
        <is>
          <t>Partial</t>
        </is>
      </c>
      <c r="F4" s="29" t="inlineStr">
        <is>
          <t>Pass</t>
        </is>
      </c>
      <c r="G4" s="29" t="inlineStr">
        <is>
          <t>Pass</t>
        </is>
      </c>
      <c r="H4" s="29" t="inlineStr">
        <is>
          <t>Partial</t>
        </is>
      </c>
      <c r="I4" s="29" t="inlineStr">
        <is>
          <t>Pass</t>
        </is>
      </c>
      <c r="J4" s="29" t="inlineStr">
        <is>
          <t>Pass</t>
        </is>
      </c>
      <c r="K4" s="29" t="inlineStr">
        <is>
          <t>Pass</t>
        </is>
      </c>
      <c r="L4" s="29" t="inlineStr">
        <is>
          <t>Pass</t>
        </is>
      </c>
      <c r="M4" s="29" t="inlineStr">
        <is>
          <t>Electron primary</t>
        </is>
      </c>
    </row>
    <row r="5">
      <c r="A5" s="27" t="inlineStr">
        <is>
          <t>/app/dashboard</t>
        </is>
      </c>
      <c r="B5" s="27" t="inlineStr">
        <is>
          <t>KPI cards</t>
        </is>
      </c>
      <c r="C5" s="27" t="inlineStr">
        <is>
          <t>Pass</t>
        </is>
      </c>
      <c r="D5" s="27" t="inlineStr">
        <is>
          <t>Pass</t>
        </is>
      </c>
      <c r="E5" s="27" t="inlineStr">
        <is>
          <t>Pass</t>
        </is>
      </c>
      <c r="F5" s="27" t="inlineStr">
        <is>
          <t>Pass</t>
        </is>
      </c>
      <c r="G5" s="27" t="inlineStr">
        <is>
          <t>Pass</t>
        </is>
      </c>
      <c r="H5" s="27" t="inlineStr">
        <is>
          <t>Pass</t>
        </is>
      </c>
      <c r="I5" s="27" t="inlineStr">
        <is>
          <t>Pass</t>
        </is>
      </c>
      <c r="J5" s="27" t="inlineStr">
        <is>
          <t>Pass</t>
        </is>
      </c>
      <c r="K5" s="27" t="inlineStr">
        <is>
          <t>Pass</t>
        </is>
      </c>
      <c r="L5" s="27" t="inlineStr">
        <is>
          <t>Pass</t>
        </is>
      </c>
      <c r="M5" s="27" t="inlineStr"/>
    </row>
    <row r="6">
      <c r="A6" s="29" t="inlineStr">
        <is>
          <t>/app/admin/revenue</t>
        </is>
      </c>
      <c r="B6" s="29" t="inlineStr">
        <is>
          <t>USD/INR charts</t>
        </is>
      </c>
      <c r="C6" s="29" t="inlineStr">
        <is>
          <t>Pass</t>
        </is>
      </c>
      <c r="D6" s="29" t="inlineStr">
        <is>
          <t>Pass</t>
        </is>
      </c>
      <c r="E6" s="29" t="inlineStr">
        <is>
          <t>Pass</t>
        </is>
      </c>
      <c r="F6" s="29" t="inlineStr">
        <is>
          <t>Pass</t>
        </is>
      </c>
      <c r="G6" s="29" t="inlineStr">
        <is>
          <t>Pass</t>
        </is>
      </c>
      <c r="H6" s="29" t="inlineStr">
        <is>
          <t>Partial</t>
        </is>
      </c>
      <c r="I6" s="29" t="inlineStr">
        <is>
          <t>Pass</t>
        </is>
      </c>
      <c r="J6" s="29" t="inlineStr">
        <is>
          <t>Pass</t>
        </is>
      </c>
      <c r="K6" s="29" t="inlineStr">
        <is>
          <t>N/A</t>
        </is>
      </c>
      <c r="L6" s="29" t="inlineStr">
        <is>
          <t>Pass</t>
        </is>
      </c>
      <c r="M6" s="29" t="inlineStr"/>
    </row>
    <row r="7">
      <c r="A7" s="27" t="inlineStr">
        <is>
          <t>/login</t>
        </is>
      </c>
      <c r="B7" s="27" t="inlineStr">
        <is>
          <t>Auth form</t>
        </is>
      </c>
      <c r="C7" s="27" t="inlineStr">
        <is>
          <t>Pass</t>
        </is>
      </c>
      <c r="D7" s="27" t="inlineStr">
        <is>
          <t>Pass</t>
        </is>
      </c>
      <c r="E7" s="27" t="inlineStr">
        <is>
          <t>Pass</t>
        </is>
      </c>
      <c r="F7" s="27" t="inlineStr">
        <is>
          <t>Pass</t>
        </is>
      </c>
      <c r="G7" s="27" t="inlineStr">
        <is>
          <t>Pass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Pass</t>
        </is>
      </c>
      <c r="K7" s="27" t="inlineStr">
        <is>
          <t>N/A</t>
        </is>
      </c>
      <c r="L7" s="27" t="inlineStr">
        <is>
          <t>Pass</t>
        </is>
      </c>
      <c r="M7" s="27" t="inlineStr"/>
    </row>
  </sheetData>
  <autoFilter ref="A2:M7"/>
  <mergeCells count="1">
    <mergeCell ref="A1:H1"/>
  </mergeCells>
  <conditionalFormatting sqref="C3:C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D3:D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E3:E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F3:F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G3:G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H3:H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I3:I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J3:J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K3:K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L3:L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dataValidations count="10"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4" customWidth="1" min="9" max="9"/>
    <col width="12" customWidth="1" min="10" max="10"/>
    <col width="12" customWidth="1" min="11" max="11"/>
    <col width="19" customWidth="1" min="12" max="12"/>
  </cols>
  <sheetData>
    <row r="1">
      <c r="A1" s="1" t="inlineStr">
        <is>
          <t>Mobile Responsiveness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Screen</t>
        </is>
      </c>
      <c r="B2" s="26" t="inlineStr">
        <is>
          <t>Android</t>
        </is>
      </c>
      <c r="C2" s="26" t="inlineStr">
        <is>
          <t>iPhone</t>
        </is>
      </c>
      <c r="D2" s="26" t="inlineStr">
        <is>
          <t>Tablet</t>
        </is>
      </c>
      <c r="E2" s="26" t="inlineStr">
        <is>
          <t>Landscape</t>
        </is>
      </c>
      <c r="F2" s="26" t="inlineStr">
        <is>
          <t>Portrait</t>
        </is>
      </c>
      <c r="G2" s="26" t="inlineStr">
        <is>
          <t>Small Screen</t>
        </is>
      </c>
      <c r="H2" s="26" t="inlineStr">
        <is>
          <t>Medium Screen</t>
        </is>
      </c>
      <c r="I2" s="26" t="inlineStr">
        <is>
          <t>Large Screen</t>
        </is>
      </c>
      <c r="J2" s="26" t="inlineStr">
        <is>
          <t>Responsive</t>
        </is>
      </c>
      <c r="K2" s="26" t="inlineStr">
        <is>
          <t>Pass</t>
        </is>
      </c>
      <c r="L2" s="26" t="inlineStr">
        <is>
          <t>Comments</t>
        </is>
      </c>
    </row>
    <row r="3">
      <c r="A3" s="27" t="inlineStr">
        <is>
          <t>/app/dashboard</t>
        </is>
      </c>
      <c r="B3" s="27" t="inlineStr">
        <is>
          <t>Pass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Pass</t>
        </is>
      </c>
      <c r="I3" s="27" t="inlineStr">
        <is>
          <t>Pass</t>
        </is>
      </c>
      <c r="J3" s="27" t="inlineStr">
        <is>
          <t>Yes</t>
        </is>
      </c>
      <c r="K3" s="27" t="inlineStr">
        <is>
          <t>Pass</t>
        </is>
      </c>
      <c r="L3" s="27" t="inlineStr">
        <is>
          <t>MobileNav partial</t>
        </is>
      </c>
    </row>
    <row r="4">
      <c r="A4" s="29" t="inlineStr">
        <is>
          <t>/app/mock-test/session</t>
        </is>
      </c>
      <c r="B4" s="29" t="inlineStr">
        <is>
          <t>Pass</t>
        </is>
      </c>
      <c r="C4" s="29" t="inlineStr">
        <is>
          <t>Pass</t>
        </is>
      </c>
      <c r="D4" s="29" t="inlineStr">
        <is>
          <t>Pass</t>
        </is>
      </c>
      <c r="E4" s="29" t="inlineStr">
        <is>
          <t>Partial</t>
        </is>
      </c>
      <c r="F4" s="29" t="inlineStr">
        <is>
          <t>Pass</t>
        </is>
      </c>
      <c r="G4" s="29" t="inlineStr">
        <is>
          <t>Pass</t>
        </is>
      </c>
      <c r="H4" s="29" t="inlineStr">
        <is>
          <t>Pass</t>
        </is>
      </c>
      <c r="I4" s="29" t="inlineStr">
        <is>
          <t>Pass</t>
        </is>
      </c>
      <c r="J4" s="29" t="inlineStr">
        <is>
          <t>Yes</t>
        </is>
      </c>
      <c r="K4" s="29" t="inlineStr">
        <is>
          <t>Pass</t>
        </is>
      </c>
      <c r="L4" s="29" t="inlineStr"/>
    </row>
    <row r="5">
      <c r="A5" s="27" t="inlineStr">
        <is>
          <t>/pricing</t>
        </is>
      </c>
      <c r="B5" s="27" t="inlineStr">
        <is>
          <t>Pass</t>
        </is>
      </c>
      <c r="C5" s="27" t="inlineStr">
        <is>
          <t>Pass</t>
        </is>
      </c>
      <c r="D5" s="27" t="inlineStr">
        <is>
          <t>Pass</t>
        </is>
      </c>
      <c r="E5" s="27" t="inlineStr">
        <is>
          <t>Pass</t>
        </is>
      </c>
      <c r="F5" s="27" t="inlineStr">
        <is>
          <t>Pass</t>
        </is>
      </c>
      <c r="G5" s="27" t="inlineStr">
        <is>
          <t>Pass</t>
        </is>
      </c>
      <c r="H5" s="27" t="inlineStr">
        <is>
          <t>Pass</t>
        </is>
      </c>
      <c r="I5" s="27" t="inlineStr">
        <is>
          <t>Pass</t>
        </is>
      </c>
      <c r="J5" s="27" t="inlineStr">
        <is>
          <t>Yes</t>
        </is>
      </c>
      <c r="K5" s="27" t="inlineStr">
        <is>
          <t>Pass</t>
        </is>
      </c>
      <c r="L5" s="27" t="inlineStr"/>
    </row>
    <row r="6">
      <c r="A6" s="29" t="inlineStr">
        <is>
          <t>/app/live</t>
        </is>
      </c>
      <c r="B6" s="29" t="inlineStr">
        <is>
          <t>Fail</t>
        </is>
      </c>
      <c r="C6" s="29" t="inlineStr">
        <is>
          <t>Fail</t>
        </is>
      </c>
      <c r="D6" s="29" t="inlineStr">
        <is>
          <t>Partial</t>
        </is>
      </c>
      <c r="E6" s="29" t="inlineStr">
        <is>
          <t>N/A</t>
        </is>
      </c>
      <c r="F6" s="29" t="inlineStr">
        <is>
          <t>N/A</t>
        </is>
      </c>
      <c r="G6" s="29" t="inlineStr">
        <is>
          <t>Fail</t>
        </is>
      </c>
      <c r="H6" s="29" t="inlineStr">
        <is>
          <t>Partial</t>
        </is>
      </c>
      <c r="I6" s="29" t="inlineStr">
        <is>
          <t>Pass</t>
        </is>
      </c>
      <c r="J6" s="29" t="inlineStr">
        <is>
          <t>Partial</t>
        </is>
      </c>
      <c r="K6" s="29" t="inlineStr">
        <is>
          <t>Fail</t>
        </is>
      </c>
      <c r="L6" s="29" t="inlineStr">
        <is>
          <t>Desktop-first</t>
        </is>
      </c>
    </row>
    <row r="7">
      <c r="A7" s="27" t="inlineStr">
        <is>
          <t>/app/admin/users</t>
        </is>
      </c>
      <c r="B7" s="27" t="inlineStr">
        <is>
          <t>Partial</t>
        </is>
      </c>
      <c r="C7" s="27" t="inlineStr">
        <is>
          <t>Partial</t>
        </is>
      </c>
      <c r="D7" s="27" t="inlineStr">
        <is>
          <t>Pass</t>
        </is>
      </c>
      <c r="E7" s="27" t="inlineStr">
        <is>
          <t>Pass</t>
        </is>
      </c>
      <c r="F7" s="27" t="inlineStr">
        <is>
          <t>Pass</t>
        </is>
      </c>
      <c r="G7" s="27" t="inlineStr">
        <is>
          <t>Partial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Partial</t>
        </is>
      </c>
      <c r="K7" s="27" t="inlineStr">
        <is>
          <t>Partial</t>
        </is>
      </c>
      <c r="L7" s="27" t="inlineStr">
        <is>
          <t>Wide tables</t>
        </is>
      </c>
    </row>
  </sheetData>
  <autoFilter ref="A2:L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K3:K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dataValidations count="10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Lists!$I$2:$I$5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2" customWidth="1" min="2" max="2"/>
    <col width="36" customWidth="1" min="3" max="3"/>
    <col width="16" customWidth="1" min="4" max="4"/>
    <col width="28" customWidth="1" min="5" max="5"/>
    <col width="24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API Testing — Supabase Edge Functions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API Name</t>
        </is>
      </c>
      <c r="B2" s="26" t="inlineStr">
        <is>
          <t>Method</t>
        </is>
      </c>
      <c r="C2" s="26" t="inlineStr">
        <is>
          <t>Endpoint</t>
        </is>
      </c>
      <c r="D2" s="26" t="inlineStr">
        <is>
          <t>Authentication</t>
        </is>
      </c>
      <c r="E2" s="26" t="inlineStr">
        <is>
          <t>Headers</t>
        </is>
      </c>
      <c r="F2" s="26" t="inlineStr">
        <is>
          <t>Request</t>
        </is>
      </c>
      <c r="G2" s="26" t="inlineStr">
        <is>
          <t>Expected Response</t>
        </is>
      </c>
      <c r="H2" s="26" t="inlineStr">
        <is>
          <t>Actual Response</t>
        </is>
      </c>
      <c r="I2" s="26" t="inlineStr">
        <is>
          <t>Status Code</t>
        </is>
      </c>
      <c r="J2" s="26" t="inlineStr">
        <is>
          <t>Performance</t>
        </is>
      </c>
      <c r="K2" s="26" t="inlineStr">
        <is>
          <t>Security</t>
        </is>
      </c>
      <c r="L2" s="26" t="inlineStr">
        <is>
          <t>Pass</t>
        </is>
      </c>
      <c r="M2" s="26" t="inlineStr">
        <is>
          <t>Comments</t>
        </is>
      </c>
    </row>
    <row r="3">
      <c r="A3" s="27" t="inlineStr">
        <is>
          <t>Create Checkout</t>
        </is>
      </c>
      <c r="B3" s="27" t="inlineStr">
        <is>
          <t>POST</t>
        </is>
      </c>
      <c r="C3" s="27" t="inlineStr">
        <is>
          <t>/functions/v1/create-checkout</t>
        </is>
      </c>
      <c r="D3" s="27" t="inlineStr">
        <is>
          <t>Bearer JWT</t>
        </is>
      </c>
      <c r="E3" s="27" t="inlineStr">
        <is>
          <t>Authorization, apikey</t>
        </is>
      </c>
      <c r="F3" s="27" t="inlineStr">
        <is>
          <t>{"plan":"enterprise"}</t>
        </is>
      </c>
      <c r="G3" s="27" t="inlineStr">
        <is>
          <t>Checkout URL</t>
        </is>
      </c>
      <c r="H3" s="27" t="inlineStr">
        <is>
          <t>URL ok</t>
        </is>
      </c>
      <c r="I3" s="27" t="inlineStr">
        <is>
          <t>200</t>
        </is>
      </c>
      <c r="J3" s="27" t="inlineStr">
        <is>
          <t>Good</t>
        </is>
      </c>
      <c r="K3" s="27" t="inlineStr">
        <is>
          <t>Pass</t>
        </is>
      </c>
      <c r="L3" s="27" t="inlineStr">
        <is>
          <t>Pass</t>
        </is>
      </c>
      <c r="M3" s="27" t="inlineStr">
        <is>
          <t>Enterprise price</t>
        </is>
      </c>
    </row>
    <row r="4">
      <c r="A4" s="29" t="inlineStr">
        <is>
          <t>Parse Resume</t>
        </is>
      </c>
      <c r="B4" s="29" t="inlineStr">
        <is>
          <t>POST</t>
        </is>
      </c>
      <c r="C4" s="29" t="inlineStr">
        <is>
          <t>/functions/v1/parse-resume</t>
        </is>
      </c>
      <c r="D4" s="29" t="inlineStr">
        <is>
          <t>Bearer JWT</t>
        </is>
      </c>
      <c r="E4" s="29" t="inlineStr">
        <is>
          <t>x-clarify-onboarding-parse</t>
        </is>
      </c>
      <c r="F4" s="29" t="inlineStr">
        <is>
          <t>multipart</t>
        </is>
      </c>
      <c r="G4" s="29" t="inlineStr">
        <is>
          <t>Parsed JSON</t>
        </is>
      </c>
      <c r="H4" s="29" t="inlineStr">
        <is>
          <t>OK</t>
        </is>
      </c>
      <c r="I4" s="29" t="inlineStr">
        <is>
          <t>200</t>
        </is>
      </c>
      <c r="J4" s="29" t="inlineStr">
        <is>
          <t>Acceptable</t>
        </is>
      </c>
      <c r="K4" s="29" t="inlineStr">
        <is>
          <t>Pass</t>
        </is>
      </c>
      <c r="L4" s="29" t="inlineStr">
        <is>
          <t>Pass</t>
        </is>
      </c>
      <c r="M4" s="29" t="inlineStr">
        <is>
          <t>Free once</t>
        </is>
      </c>
    </row>
    <row r="5">
      <c r="A5" s="27" t="inlineStr">
        <is>
          <t>Generate Answer</t>
        </is>
      </c>
      <c r="B5" s="27" t="inlineStr">
        <is>
          <t>POST</t>
        </is>
      </c>
      <c r="C5" s="27" t="inlineStr">
        <is>
          <t>/functions/v1/generate-answer</t>
        </is>
      </c>
      <c r="D5" s="27" t="inlineStr">
        <is>
          <t>Bearer JWT</t>
        </is>
      </c>
      <c r="E5" s="27" t="inlineStr">
        <is>
          <t>Authorization</t>
        </is>
      </c>
      <c r="F5" s="27" t="inlineStr">
        <is>
          <t>{"mode":"overlay"}</t>
        </is>
      </c>
      <c r="G5" s="27" t="inlineStr">
        <is>
          <t>403 free overlay</t>
        </is>
      </c>
      <c r="H5" s="27" t="inlineStr">
        <is>
          <t>403</t>
        </is>
      </c>
      <c r="I5" s="27" t="inlineStr">
        <is>
          <t>403</t>
        </is>
      </c>
      <c r="J5" s="27" t="inlineStr">
        <is>
          <t>Excellent</t>
        </is>
      </c>
      <c r="K5" s="27" t="inlineStr">
        <is>
          <t>Pass</t>
        </is>
      </c>
      <c r="L5" s="27" t="inlineStr">
        <is>
          <t>Pass</t>
        </is>
      </c>
      <c r="M5" s="27" t="inlineStr">
        <is>
          <t>Pro gate</t>
        </is>
      </c>
    </row>
    <row r="6">
      <c r="A6" s="29" t="inlineStr">
        <is>
          <t>Razorpay Order</t>
        </is>
      </c>
      <c r="B6" s="29" t="inlineStr">
        <is>
          <t>POST</t>
        </is>
      </c>
      <c r="C6" s="29" t="inlineStr">
        <is>
          <t>/functions/v1/razorpay-create-order</t>
        </is>
      </c>
      <c r="D6" s="29" t="inlineStr">
        <is>
          <t>Bearer JWT</t>
        </is>
      </c>
      <c r="E6" s="29" t="inlineStr">
        <is>
          <t>Authorization</t>
        </is>
      </c>
      <c r="F6" s="29" t="inlineStr">
        <is>
          <t>{"pack":"credits_50"}</t>
        </is>
      </c>
      <c r="G6" s="29" t="inlineStr">
        <is>
          <t>order_id</t>
        </is>
      </c>
      <c r="H6" s="29" t="inlineStr">
        <is>
          <t>OK</t>
        </is>
      </c>
      <c r="I6" s="29" t="inlineStr">
        <is>
          <t>200</t>
        </is>
      </c>
      <c r="J6" s="29" t="inlineStr">
        <is>
          <t>Good</t>
        </is>
      </c>
      <c r="K6" s="29" t="inlineStr">
        <is>
          <t>Pass</t>
        </is>
      </c>
      <c r="L6" s="29" t="inlineStr">
        <is>
          <t>Pass</t>
        </is>
      </c>
      <c r="M6" s="29" t="inlineStr">
        <is>
          <t>Rate limited</t>
        </is>
      </c>
    </row>
    <row r="7">
      <c r="A7" s="27" t="inlineStr">
        <is>
          <t>Stripe Webhook</t>
        </is>
      </c>
      <c r="B7" s="27" t="inlineStr">
        <is>
          <t>POST</t>
        </is>
      </c>
      <c r="C7" s="27" t="inlineStr">
        <is>
          <t>/functions/v1/stripe-webhook</t>
        </is>
      </c>
      <c r="D7" s="27" t="inlineStr">
        <is>
          <t>Webhook HMAC</t>
        </is>
      </c>
      <c r="E7" s="27" t="inlineStr">
        <is>
          <t>Stripe-Signature</t>
        </is>
      </c>
      <c r="F7" s="27" t="inlineStr">
        <is>
          <t>invoice.payment_failed</t>
        </is>
      </c>
      <c r="G7" s="27" t="inlineStr">
        <is>
          <t>200 credits intact</t>
        </is>
      </c>
      <c r="H7" s="27" t="inlineStr">
        <is>
          <t>200</t>
        </is>
      </c>
      <c r="I7" s="27" t="inlineStr">
        <is>
          <t>200</t>
        </is>
      </c>
      <c r="J7" s="27" t="inlineStr">
        <is>
          <t>Excellent</t>
        </is>
      </c>
      <c r="K7" s="27" t="inlineStr">
        <is>
          <t>Pass</t>
        </is>
      </c>
      <c r="L7" s="27" t="inlineStr">
        <is>
          <t>Pass</t>
        </is>
      </c>
      <c r="M7" s="27" t="inlineStr">
        <is>
          <t>P0-2</t>
        </is>
      </c>
    </row>
    <row r="8">
      <c r="A8" s="29" t="inlineStr">
        <is>
          <t>Sync Calendar</t>
        </is>
      </c>
      <c r="B8" s="29" t="inlineStr">
        <is>
          <t>POST</t>
        </is>
      </c>
      <c r="C8" s="29" t="inlineStr">
        <is>
          <t>/functions/v1/sync-calendar</t>
        </is>
      </c>
      <c r="D8" s="29" t="inlineStr">
        <is>
          <t>Bearer JWT</t>
        </is>
      </c>
      <c r="E8" s="29" t="inlineStr">
        <is>
          <t>Authorization</t>
        </is>
      </c>
      <c r="F8" s="29" t="inlineStr">
        <is>
          <t>{}</t>
        </is>
      </c>
      <c r="G8" s="29" t="inlineStr">
        <is>
          <t>501 or events</t>
        </is>
      </c>
      <c r="H8" s="29" t="inlineStr">
        <is>
          <t>501</t>
        </is>
      </c>
      <c r="I8" s="29" t="inlineStr">
        <is>
          <t>501</t>
        </is>
      </c>
      <c r="J8" s="29" t="inlineStr">
        <is>
          <t>N/A</t>
        </is>
      </c>
      <c r="K8" s="29" t="inlineStr">
        <is>
          <t>Pass</t>
        </is>
      </c>
      <c r="L8" s="29" t="inlineStr">
        <is>
          <t>Blocked</t>
        </is>
      </c>
      <c r="M8" s="29" t="inlineStr">
        <is>
          <t>Secrets</t>
        </is>
      </c>
    </row>
  </sheetData>
  <autoFilter ref="A2:M8"/>
  <mergeCells count="1">
    <mergeCell ref="A1:H1"/>
  </mergeCells>
  <conditionalFormatting sqref="L3:L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6">
    <dataValidation sqref="B3:B5000" showDropDown="0" showInputMessage="0" showErrorMessage="0" allowBlank="1" errorTitle="Invalid" error="Pick a value from the list" type="list">
      <formula1>Lists!$T$2:$T$7</formula1>
    </dataValidation>
    <dataValidation sqref="D3:D5000" showDropDown="0" showInputMessage="0" showErrorMessage="0" allowBlank="1" errorTitle="Invalid" error="Pick a value from the list" type="list">
      <formula1>Lists!$V$2:$V$7</formula1>
    </dataValidation>
    <dataValidation sqref="I3:I5000" showDropDown="0" showInputMessage="0" showErrorMessage="0" allowBlank="1" errorTitle="Invalid" error="Pick a value from the list" type="list">
      <formula1>Lists!$U$2:$U$13</formula1>
    </dataValidation>
    <dataValidation sqref="J3:J5000" showDropDown="0" showInputMessage="0" showErrorMessage="0" allowBlank="1" errorTitle="Invalid" error="Pick a value from the list" type="list">
      <formula1>Lists!$S$2:$S$6</formula1>
    </dataValidation>
    <dataValidation sqref="K3:K5000" showDropDown="0" showInputMessage="0" showErrorMessage="0" allowBlank="1" errorTitle="Invalid" error="Pick a value from the list" type="list">
      <formula1>Lists!$O$2:$O$6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6" customWidth="1" min="2" max="2"/>
    <col width="16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9" customWidth="1" min="12" max="12"/>
    <col width="12" customWidth="1" min="13" max="13"/>
  </cols>
  <sheetData>
    <row r="1">
      <c r="A1" s="1" t="inlineStr">
        <is>
          <t>Database Validation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Table</t>
        </is>
      </c>
      <c r="B2" s="26" t="inlineStr">
        <is>
          <t>Columns</t>
        </is>
      </c>
      <c r="C2" s="26" t="inlineStr">
        <is>
          <t>Constraints</t>
        </is>
      </c>
      <c r="D2" s="26" t="inlineStr">
        <is>
          <t>Relationships</t>
        </is>
      </c>
      <c r="E2" s="26" t="inlineStr">
        <is>
          <t>Insert</t>
        </is>
      </c>
      <c r="F2" s="26" t="inlineStr">
        <is>
          <t>Update</t>
        </is>
      </c>
      <c r="G2" s="26" t="inlineStr">
        <is>
          <t>Delete</t>
        </is>
      </c>
      <c r="H2" s="26" t="inlineStr">
        <is>
          <t>Foreign Keys</t>
        </is>
      </c>
      <c r="I2" s="26" t="inlineStr">
        <is>
          <t>Indexes</t>
        </is>
      </c>
      <c r="J2" s="26" t="inlineStr">
        <is>
          <t>Triggers</t>
        </is>
      </c>
      <c r="K2" s="26" t="inlineStr">
        <is>
          <t>Views</t>
        </is>
      </c>
      <c r="L2" s="26" t="inlineStr">
        <is>
          <t>Validation Status</t>
        </is>
      </c>
      <c r="M2" s="26" t="inlineStr">
        <is>
          <t>Remarks</t>
        </is>
      </c>
    </row>
    <row r="3">
      <c r="A3" s="27" t="inlineStr">
        <is>
          <t>profiles</t>
        </is>
      </c>
      <c r="B3" s="27" t="inlineStr">
        <is>
          <t>id, credits, plan, onboarding_completed, streak_days</t>
        </is>
      </c>
      <c r="C3" s="27" t="inlineStr">
        <is>
          <t>PK=auth.users</t>
        </is>
      </c>
      <c r="D3" s="27" t="inlineStr">
        <is>
          <t>1:1 auth.users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Pass</t>
        </is>
      </c>
      <c r="I3" s="27" t="inlineStr">
        <is>
          <t>Pass</t>
        </is>
      </c>
      <c r="J3" s="27" t="inlineStr">
        <is>
          <t>Partial</t>
        </is>
      </c>
      <c r="K3" s="27" t="inlineStr">
        <is>
          <t>N/A</t>
        </is>
      </c>
      <c r="L3" s="27" t="inlineStr">
        <is>
          <t>Pass</t>
        </is>
      </c>
      <c r="M3" s="27" t="inlineStr"/>
    </row>
    <row r="4">
      <c r="A4" s="29" t="inlineStr">
        <is>
          <t>subscriptions</t>
        </is>
      </c>
      <c r="B4" s="29" t="inlineStr">
        <is>
          <t>user_id, plan, status, stripe ids</t>
        </is>
      </c>
      <c r="C4" s="29" t="inlineStr">
        <is>
          <t>status checks</t>
        </is>
      </c>
      <c r="D4" s="29" t="inlineStr">
        <is>
          <t>profiles</t>
        </is>
      </c>
      <c r="E4" s="29" t="inlineStr">
        <is>
          <t>Pass</t>
        </is>
      </c>
      <c r="F4" s="29" t="inlineStr">
        <is>
          <t>Pass</t>
        </is>
      </c>
      <c r="G4" s="29" t="inlineStr">
        <is>
          <t>Pass</t>
        </is>
      </c>
      <c r="H4" s="29" t="inlineStr">
        <is>
          <t>Pass</t>
        </is>
      </c>
      <c r="I4" s="29" t="inlineStr">
        <is>
          <t>Pass</t>
        </is>
      </c>
      <c r="J4" s="29" t="inlineStr">
        <is>
          <t>N/A</t>
        </is>
      </c>
      <c r="K4" s="29" t="inlineStr">
        <is>
          <t>N/A</t>
        </is>
      </c>
      <c r="L4" s="29" t="inlineStr">
        <is>
          <t>Pass</t>
        </is>
      </c>
      <c r="M4" s="29" t="inlineStr">
        <is>
          <t>MRR source</t>
        </is>
      </c>
    </row>
    <row r="5">
      <c r="A5" s="27" t="inlineStr">
        <is>
          <t>credit_transactions</t>
        </is>
      </c>
      <c r="B5" s="27" t="inlineStr">
        <is>
          <t>user_id, amount, reason</t>
        </is>
      </c>
      <c r="C5" s="27" t="inlineStr">
        <is>
          <t>signed amount</t>
        </is>
      </c>
      <c r="D5" s="27" t="inlineStr">
        <is>
          <t>profiles</t>
        </is>
      </c>
      <c r="E5" s="27" t="inlineStr">
        <is>
          <t>Pass</t>
        </is>
      </c>
      <c r="F5" s="27" t="inlineStr">
        <is>
          <t>N/A</t>
        </is>
      </c>
      <c r="G5" s="27" t="inlineStr">
        <is>
          <t>N/A</t>
        </is>
      </c>
      <c r="H5" s="27" t="inlineStr">
        <is>
          <t>Pass</t>
        </is>
      </c>
      <c r="I5" s="27" t="inlineStr">
        <is>
          <t>Pass</t>
        </is>
      </c>
      <c r="J5" s="27" t="inlineStr">
        <is>
          <t>N/A</t>
        </is>
      </c>
      <c r="K5" s="27" t="inlineStr">
        <is>
          <t>N/A</t>
        </is>
      </c>
      <c r="L5" s="27" t="inlineStr">
        <is>
          <t>Pass</t>
        </is>
      </c>
      <c r="M5" s="27" t="inlineStr">
        <is>
          <t>Not money</t>
        </is>
      </c>
    </row>
    <row r="6">
      <c r="A6" s="29" t="inlineStr">
        <is>
          <t>payment_orders</t>
        </is>
      </c>
      <c r="B6" s="29" t="inlineStr">
        <is>
          <t>amount_paise, status</t>
        </is>
      </c>
      <c r="C6" s="29" t="inlineStr">
        <is>
          <t>incl refunded</t>
        </is>
      </c>
      <c r="D6" s="29" t="inlineStr">
        <is>
          <t>profiles</t>
        </is>
      </c>
      <c r="E6" s="29" t="inlineStr">
        <is>
          <t>Pass</t>
        </is>
      </c>
      <c r="F6" s="29" t="inlineStr">
        <is>
          <t>Pass</t>
        </is>
      </c>
      <c r="G6" s="29" t="inlineStr">
        <is>
          <t>N/A</t>
        </is>
      </c>
      <c r="H6" s="29" t="inlineStr">
        <is>
          <t>Pass</t>
        </is>
      </c>
      <c r="I6" s="29" t="inlineStr">
        <is>
          <t>Pass</t>
        </is>
      </c>
      <c r="J6" s="29" t="inlineStr">
        <is>
          <t>N/A</t>
        </is>
      </c>
      <c r="K6" s="29" t="inlineStr">
        <is>
          <t>N/A</t>
        </is>
      </c>
      <c r="L6" s="29" t="inlineStr">
        <is>
          <t>Pass</t>
        </is>
      </c>
      <c r="M6" s="29" t="inlineStr">
        <is>
          <t>INR</t>
        </is>
      </c>
    </row>
    <row r="7">
      <c r="A7" s="27" t="inlineStr">
        <is>
          <t>sessions</t>
        </is>
      </c>
      <c r="B7" s="27" t="inlineStr">
        <is>
          <t>nullable scores</t>
        </is>
      </c>
      <c r="C7" s="27" t="inlineStr">
        <is>
          <t>RLS user-owned</t>
        </is>
      </c>
      <c r="D7" s="27" t="inlineStr">
        <is>
          <t>answers/debriefs</t>
        </is>
      </c>
      <c r="E7" s="27" t="inlineStr">
        <is>
          <t>Pass</t>
        </is>
      </c>
      <c r="F7" s="27" t="inlineStr">
        <is>
          <t>Pass</t>
        </is>
      </c>
      <c r="G7" s="27" t="inlineStr">
        <is>
          <t>Pass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N/A</t>
        </is>
      </c>
      <c r="K7" s="27" t="inlineStr">
        <is>
          <t>N/A</t>
        </is>
      </c>
      <c r="L7" s="27" t="inlineStr">
        <is>
          <t>Pass</t>
        </is>
      </c>
      <c r="M7" s="27" t="inlineStr">
        <is>
          <t>Null≠0</t>
        </is>
      </c>
    </row>
    <row r="8">
      <c r="A8" s="29" t="inlineStr">
        <is>
          <t>questions / mock_tests</t>
        </is>
      </c>
      <c r="B8" s="29" t="inlineStr">
        <is>
          <t>exam_type, options jsonb</t>
        </is>
      </c>
      <c r="C8" s="29" t="inlineStr">
        <is>
          <t>RLS</t>
        </is>
      </c>
      <c r="D8" s="29" t="inlineStr">
        <is>
          <t>exam bank</t>
        </is>
      </c>
      <c r="E8" s="29" t="inlineStr">
        <is>
          <t>Pass</t>
        </is>
      </c>
      <c r="F8" s="29" t="inlineStr">
        <is>
          <t>Pass</t>
        </is>
      </c>
      <c r="G8" s="29" t="inlineStr">
        <is>
          <t>Pass</t>
        </is>
      </c>
      <c r="H8" s="29" t="inlineStr">
        <is>
          <t>Pass</t>
        </is>
      </c>
      <c r="I8" s="29" t="inlineStr">
        <is>
          <t>Partial</t>
        </is>
      </c>
      <c r="J8" s="29" t="inlineStr">
        <is>
          <t>N/A</t>
        </is>
      </c>
      <c r="K8" s="29" t="inlineStr">
        <is>
          <t>N/A</t>
        </is>
      </c>
      <c r="L8" s="29" t="inlineStr">
        <is>
          <t>Partial</t>
        </is>
      </c>
      <c r="M8" s="29" t="inlineStr">
        <is>
          <t>Thin seed</t>
        </is>
      </c>
    </row>
  </sheetData>
  <autoFilter ref="A2:M8"/>
  <mergeCells count="1">
    <mergeCell ref="A1:H1"/>
  </mergeCells>
  <conditionalFormatting sqref="E3:E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F3:F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G3:G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H3:H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I3:I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J3:J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K3:K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L3:L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dataValidations count="8"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2" customWidth="1" min="2" max="2"/>
    <col width="12" customWidth="1" min="3" max="3"/>
    <col width="17" customWidth="1" min="4" max="4"/>
    <col width="16" customWidth="1" min="5" max="5"/>
    <col width="12" customWidth="1" min="6" max="6"/>
    <col width="20" customWidth="1" min="7" max="7"/>
    <col width="12" customWidth="1" min="8" max="8"/>
    <col width="18" customWidth="1" min="9" max="9"/>
    <col width="12" customWidth="1" min="10" max="10"/>
    <col width="12" customWidth="1" min="11" max="11"/>
    <col width="21" customWidth="1" min="12" max="12"/>
    <col width="12" customWidth="1" min="13" max="13"/>
    <col width="18" customWidth="1" min="14" max="14"/>
  </cols>
  <sheetData>
    <row r="1">
      <c r="A1" s="1" t="inlineStr">
        <is>
          <t>Authentication Testing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Portal/Role</t>
        </is>
      </c>
      <c r="B2" s="26" t="inlineStr">
        <is>
          <t>Login</t>
        </is>
      </c>
      <c r="C2" s="26" t="inlineStr">
        <is>
          <t>Signup</t>
        </is>
      </c>
      <c r="D2" s="26" t="inlineStr">
        <is>
          <t>Forgot Password</t>
        </is>
      </c>
      <c r="E2" s="26" t="inlineStr">
        <is>
          <t>Reset Password</t>
        </is>
      </c>
      <c r="F2" s="26" t="inlineStr">
        <is>
          <t>OTP</t>
        </is>
      </c>
      <c r="G2" s="26" t="inlineStr">
        <is>
          <t>Email Verification</t>
        </is>
      </c>
      <c r="H2" s="26" t="inlineStr">
        <is>
          <t>MFA</t>
        </is>
      </c>
      <c r="I2" s="26" t="inlineStr">
        <is>
          <t>Role Permissions</t>
        </is>
      </c>
      <c r="J2" s="26" t="inlineStr">
        <is>
          <t>Session</t>
        </is>
      </c>
      <c r="K2" s="26" t="inlineStr">
        <is>
          <t>Logout</t>
        </is>
      </c>
      <c r="L2" s="26" t="inlineStr">
        <is>
          <t>Unauthorized Access</t>
        </is>
      </c>
      <c r="M2" s="26" t="inlineStr">
        <is>
          <t>Status</t>
        </is>
      </c>
      <c r="N2" s="26" t="inlineStr">
        <is>
          <t>Remarks</t>
        </is>
      </c>
    </row>
    <row r="3">
      <c r="A3" s="27" t="inlineStr">
        <is>
          <t>Guest</t>
        </is>
      </c>
      <c r="B3" s="27" t="inlineStr">
        <is>
          <t>N/A</t>
        </is>
      </c>
      <c r="C3" s="27" t="inlineStr">
        <is>
          <t>Pass</t>
        </is>
      </c>
      <c r="D3" s="27" t="inlineStr">
        <is>
          <t>N/A</t>
        </is>
      </c>
      <c r="E3" s="27" t="inlineStr">
        <is>
          <t>N/A</t>
        </is>
      </c>
      <c r="F3" s="27" t="inlineStr">
        <is>
          <t>N/A</t>
        </is>
      </c>
      <c r="G3" s="27" t="inlineStr">
        <is>
          <t>N/A</t>
        </is>
      </c>
      <c r="H3" s="27" t="inlineStr">
        <is>
          <t>N/A</t>
        </is>
      </c>
      <c r="I3" s="27" t="inlineStr">
        <is>
          <t>Pass</t>
        </is>
      </c>
      <c r="J3" s="27" t="inlineStr">
        <is>
          <t>N/A</t>
        </is>
      </c>
      <c r="K3" s="27" t="inlineStr">
        <is>
          <t>N/A</t>
        </is>
      </c>
      <c r="L3" s="27" t="inlineStr">
        <is>
          <t>Pass</t>
        </is>
      </c>
      <c r="M3" s="27" t="inlineStr">
        <is>
          <t>Pass</t>
        </is>
      </c>
      <c r="N3" s="27" t="inlineStr">
        <is>
          <t>Public marketing</t>
        </is>
      </c>
    </row>
    <row r="4">
      <c r="A4" s="29" t="inlineStr">
        <is>
          <t>Free User</t>
        </is>
      </c>
      <c r="B4" s="29" t="inlineStr">
        <is>
          <t>Pass</t>
        </is>
      </c>
      <c r="C4" s="29" t="inlineStr">
        <is>
          <t>Pass</t>
        </is>
      </c>
      <c r="D4" s="29" t="inlineStr">
        <is>
          <t>Pass</t>
        </is>
      </c>
      <c r="E4" s="29" t="inlineStr">
        <is>
          <t>Pass</t>
        </is>
      </c>
      <c r="F4" s="29" t="inlineStr">
        <is>
          <t>N/A</t>
        </is>
      </c>
      <c r="G4" s="29" t="inlineStr">
        <is>
          <t>Pass</t>
        </is>
      </c>
      <c r="H4" s="29" t="inlineStr">
        <is>
          <t>Pass</t>
        </is>
      </c>
      <c r="I4" s="29" t="inlineStr">
        <is>
          <t>Pass</t>
        </is>
      </c>
      <c r="J4" s="29" t="inlineStr">
        <is>
          <t>Pass</t>
        </is>
      </c>
      <c r="K4" s="29" t="inlineStr">
        <is>
          <t>Pass</t>
        </is>
      </c>
      <c r="L4" s="29" t="inlineStr">
        <is>
          <t>Pass</t>
        </is>
      </c>
      <c r="M4" s="29" t="inlineStr">
        <is>
          <t>Pass</t>
        </is>
      </c>
      <c r="N4" s="29" t="inlineStr">
        <is>
          <t>Limited live</t>
        </is>
      </c>
    </row>
    <row r="5">
      <c r="A5" s="27" t="inlineStr">
        <is>
          <t>Pro User</t>
        </is>
      </c>
      <c r="B5" s="27" t="inlineStr">
        <is>
          <t>Pass</t>
        </is>
      </c>
      <c r="C5" s="27" t="inlineStr">
        <is>
          <t>Pass</t>
        </is>
      </c>
      <c r="D5" s="27" t="inlineStr">
        <is>
          <t>Pass</t>
        </is>
      </c>
      <c r="E5" s="27" t="inlineStr">
        <is>
          <t>Pass</t>
        </is>
      </c>
      <c r="F5" s="27" t="inlineStr">
        <is>
          <t>N/A</t>
        </is>
      </c>
      <c r="G5" s="27" t="inlineStr">
        <is>
          <t>Pass</t>
        </is>
      </c>
      <c r="H5" s="27" t="inlineStr">
        <is>
          <t>Pass</t>
        </is>
      </c>
      <c r="I5" s="27" t="inlineStr">
        <is>
          <t>Pass</t>
        </is>
      </c>
      <c r="J5" s="27" t="inlineStr">
        <is>
          <t>Pass</t>
        </is>
      </c>
      <c r="K5" s="27" t="inlineStr">
        <is>
          <t>Pass</t>
        </is>
      </c>
      <c r="L5" s="27" t="inlineStr">
        <is>
          <t>Pass</t>
        </is>
      </c>
      <c r="M5" s="27" t="inlineStr">
        <is>
          <t>Pass</t>
        </is>
      </c>
      <c r="N5" s="27" t="inlineStr">
        <is>
          <t>Overlay+calendar</t>
        </is>
      </c>
    </row>
    <row r="6">
      <c r="A6" s="29" t="inlineStr">
        <is>
          <t>Max User</t>
        </is>
      </c>
      <c r="B6" s="29" t="inlineStr">
        <is>
          <t>Pass</t>
        </is>
      </c>
      <c r="C6" s="29" t="inlineStr">
        <is>
          <t>Pass</t>
        </is>
      </c>
      <c r="D6" s="29" t="inlineStr">
        <is>
          <t>Pass</t>
        </is>
      </c>
      <c r="E6" s="29" t="inlineStr">
        <is>
          <t>Pass</t>
        </is>
      </c>
      <c r="F6" s="29" t="inlineStr">
        <is>
          <t>N/A</t>
        </is>
      </c>
      <c r="G6" s="29" t="inlineStr">
        <is>
          <t>Pass</t>
        </is>
      </c>
      <c r="H6" s="29" t="inlineStr">
        <is>
          <t>Pass</t>
        </is>
      </c>
      <c r="I6" s="29" t="inlineStr">
        <is>
          <t>Pass</t>
        </is>
      </c>
      <c r="J6" s="29" t="inlineStr">
        <is>
          <t>Pass</t>
        </is>
      </c>
      <c r="K6" s="29" t="inlineStr">
        <is>
          <t>Pass</t>
        </is>
      </c>
      <c r="L6" s="29" t="inlineStr">
        <is>
          <t>Pass</t>
        </is>
      </c>
      <c r="M6" s="29" t="inlineStr">
        <is>
          <t>Pass</t>
        </is>
      </c>
      <c r="N6" s="29" t="inlineStr">
        <is>
          <t>Priority models</t>
        </is>
      </c>
    </row>
    <row r="7">
      <c r="A7" s="27" t="inlineStr">
        <is>
          <t>Admin</t>
        </is>
      </c>
      <c r="B7" s="27" t="inlineStr">
        <is>
          <t>Pass</t>
        </is>
      </c>
      <c r="C7" s="27" t="inlineStr">
        <is>
          <t>N/A</t>
        </is>
      </c>
      <c r="D7" s="27" t="inlineStr">
        <is>
          <t>Pass</t>
        </is>
      </c>
      <c r="E7" s="27" t="inlineStr">
        <is>
          <t>Pass</t>
        </is>
      </c>
      <c r="F7" s="27" t="inlineStr">
        <is>
          <t>N/A</t>
        </is>
      </c>
      <c r="G7" s="27" t="inlineStr">
        <is>
          <t>Pass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Pass</t>
        </is>
      </c>
      <c r="K7" s="27" t="inlineStr">
        <is>
          <t>Pass</t>
        </is>
      </c>
      <c r="L7" s="27" t="inlineStr">
        <is>
          <t>Pass</t>
        </is>
      </c>
      <c r="M7" s="27" t="inlineStr">
        <is>
          <t>Pass</t>
        </is>
      </c>
      <c r="N7" s="27" t="inlineStr">
        <is>
          <t>requireAdmin</t>
        </is>
      </c>
    </row>
  </sheetData>
  <autoFilter ref="A2:N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J3:J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K3:K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L3:L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M3:M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dataValidations count="12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5" customWidth="1" min="2" max="2"/>
    <col width="12" customWidth="1" min="3" max="3"/>
    <col width="12" customWidth="1" min="4" max="4"/>
    <col width="15" customWidth="1" min="5" max="5"/>
    <col width="16" customWidth="1" min="6" max="6"/>
    <col width="15" customWidth="1" min="7" max="7"/>
    <col width="13" customWidth="1" min="8" max="8"/>
    <col width="18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</cols>
  <sheetData>
    <row r="1">
      <c r="A1" s="1" t="inlineStr">
        <is>
          <t>Security Testing (OWASP-style)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Target</t>
        </is>
      </c>
      <c r="B2" s="26" t="inlineStr">
        <is>
          <t>SQL Injection</t>
        </is>
      </c>
      <c r="C2" s="26" t="inlineStr">
        <is>
          <t>XSS</t>
        </is>
      </c>
      <c r="D2" s="26" t="inlineStr">
        <is>
          <t>CSRF</t>
        </is>
      </c>
      <c r="E2" s="26" t="inlineStr">
        <is>
          <t>Rate Limiting</t>
        </is>
      </c>
      <c r="F2" s="26" t="inlineStr">
        <is>
          <t>Authentication</t>
        </is>
      </c>
      <c r="G2" s="26" t="inlineStr">
        <is>
          <t>Authorization</t>
        </is>
      </c>
      <c r="H2" s="26" t="inlineStr">
        <is>
          <t>File Upload</t>
        </is>
      </c>
      <c r="I2" s="26" t="inlineStr">
        <is>
          <t>Input Validation</t>
        </is>
      </c>
      <c r="J2" s="26" t="inlineStr">
        <is>
          <t>Sensitive Data</t>
        </is>
      </c>
      <c r="K2" s="26" t="inlineStr">
        <is>
          <t>Headers</t>
        </is>
      </c>
      <c r="L2" s="26" t="inlineStr">
        <is>
          <t>Cookies</t>
        </is>
      </c>
      <c r="M2" s="26" t="inlineStr">
        <is>
          <t>JWT</t>
        </is>
      </c>
      <c r="N2" s="26" t="inlineStr">
        <is>
          <t>Encryption</t>
        </is>
      </c>
      <c r="O2" s="26" t="inlineStr">
        <is>
          <t>Status</t>
        </is>
      </c>
      <c r="P2" s="26" t="inlineStr">
        <is>
          <t>Remarks</t>
        </is>
      </c>
    </row>
    <row r="3">
      <c r="A3" s="27" t="inlineStr">
        <is>
          <t>Edge shared utils</t>
        </is>
      </c>
      <c r="B3" s="27" t="inlineStr">
        <is>
          <t>Pass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N/A</t>
        </is>
      </c>
      <c r="I3" s="27" t="inlineStr">
        <is>
          <t>Pass</t>
        </is>
      </c>
      <c r="J3" s="27" t="inlineStr">
        <is>
          <t>Pass</t>
        </is>
      </c>
      <c r="K3" s="27" t="inlineStr">
        <is>
          <t>Pass</t>
        </is>
      </c>
      <c r="L3" s="27" t="inlineStr">
        <is>
          <t>Pass</t>
        </is>
      </c>
      <c r="M3" s="27" t="inlineStr">
        <is>
          <t>Pass</t>
        </is>
      </c>
      <c r="N3" s="27" t="inlineStr">
        <is>
          <t>Pass</t>
        </is>
      </c>
      <c r="O3" s="27" t="inlineStr">
        <is>
          <t>Pass</t>
        </is>
      </c>
      <c r="P3" s="27" t="inlineStr">
        <is>
          <t>BYOK removed</t>
        </is>
      </c>
    </row>
    <row r="4">
      <c r="A4" s="29" t="inlineStr">
        <is>
          <t>parse-document</t>
        </is>
      </c>
      <c r="B4" s="29" t="inlineStr">
        <is>
          <t>N/A</t>
        </is>
      </c>
      <c r="C4" s="29" t="inlineStr">
        <is>
          <t>N/A</t>
        </is>
      </c>
      <c r="D4" s="29" t="inlineStr">
        <is>
          <t>N/A</t>
        </is>
      </c>
      <c r="E4" s="29" t="inlineStr">
        <is>
          <t>Pass</t>
        </is>
      </c>
      <c r="F4" s="29" t="inlineStr">
        <is>
          <t>Pass</t>
        </is>
      </c>
      <c r="G4" s="29" t="inlineStr">
        <is>
          <t>Pass</t>
        </is>
      </c>
      <c r="H4" s="29" t="inlineStr">
        <is>
          <t>Pass</t>
        </is>
      </c>
      <c r="I4" s="29" t="inlineStr">
        <is>
          <t>Pass</t>
        </is>
      </c>
      <c r="J4" s="29" t="inlineStr">
        <is>
          <t>Pass</t>
        </is>
      </c>
      <c r="K4" s="29" t="inlineStr">
        <is>
          <t>Pass</t>
        </is>
      </c>
      <c r="L4" s="29" t="inlineStr">
        <is>
          <t>N/A</t>
        </is>
      </c>
      <c r="M4" s="29" t="inlineStr">
        <is>
          <t>Pass</t>
        </is>
      </c>
      <c r="N4" s="29" t="inlineStr">
        <is>
          <t>Pass</t>
        </is>
      </c>
      <c r="O4" s="29" t="inlineStr">
        <is>
          <t>Pass</t>
        </is>
      </c>
      <c r="P4" s="29" t="inlineStr">
        <is>
          <t>Key in header</t>
        </is>
      </c>
    </row>
    <row r="5">
      <c r="A5" s="27" t="inlineStr">
        <is>
          <t>stripe-webhook</t>
        </is>
      </c>
      <c r="B5" s="27" t="inlineStr">
        <is>
          <t>N/A</t>
        </is>
      </c>
      <c r="C5" s="27" t="inlineStr">
        <is>
          <t>N/A</t>
        </is>
      </c>
      <c r="D5" s="27" t="inlineStr">
        <is>
          <t>Pass</t>
        </is>
      </c>
      <c r="E5" s="27" t="inlineStr">
        <is>
          <t>N/A</t>
        </is>
      </c>
      <c r="F5" s="27" t="inlineStr">
        <is>
          <t>Pass</t>
        </is>
      </c>
      <c r="G5" s="27" t="inlineStr">
        <is>
          <t>Pass</t>
        </is>
      </c>
      <c r="H5" s="27" t="inlineStr">
        <is>
          <t>N/A</t>
        </is>
      </c>
      <c r="I5" s="27" t="inlineStr">
        <is>
          <t>Pass</t>
        </is>
      </c>
      <c r="J5" s="27" t="inlineStr">
        <is>
          <t>Pass</t>
        </is>
      </c>
      <c r="K5" s="27" t="inlineStr">
        <is>
          <t>Pass</t>
        </is>
      </c>
      <c r="L5" s="27" t="inlineStr">
        <is>
          <t>N/A</t>
        </is>
      </c>
      <c r="M5" s="27" t="inlineStr">
        <is>
          <t>N/A</t>
        </is>
      </c>
      <c r="N5" s="27" t="inlineStr">
        <is>
          <t>Pass</t>
        </is>
      </c>
      <c r="O5" s="27" t="inlineStr">
        <is>
          <t>Pass</t>
        </is>
      </c>
      <c r="P5" s="27" t="inlineStr">
        <is>
          <t>HMAC</t>
        </is>
      </c>
    </row>
    <row r="6">
      <c r="A6" s="29" t="inlineStr">
        <is>
          <t>Admin bulk_update_users</t>
        </is>
      </c>
      <c r="B6" s="29" t="inlineStr">
        <is>
          <t>Pass</t>
        </is>
      </c>
      <c r="C6" s="29" t="inlineStr">
        <is>
          <t>N/A</t>
        </is>
      </c>
      <c r="D6" s="29" t="inlineStr">
        <is>
          <t>Pass</t>
        </is>
      </c>
      <c r="E6" s="29" t="inlineStr">
        <is>
          <t>N/A</t>
        </is>
      </c>
      <c r="F6" s="29" t="inlineStr">
        <is>
          <t>Pass</t>
        </is>
      </c>
      <c r="G6" s="29" t="inlineStr">
        <is>
          <t>Pass</t>
        </is>
      </c>
      <c r="H6" s="29" t="inlineStr">
        <is>
          <t>N/A</t>
        </is>
      </c>
      <c r="I6" s="29" t="inlineStr">
        <is>
          <t>Pass</t>
        </is>
      </c>
      <c r="J6" s="29" t="inlineStr">
        <is>
          <t>Pass</t>
        </is>
      </c>
      <c r="K6" s="29" t="inlineStr">
        <is>
          <t>N/A</t>
        </is>
      </c>
      <c r="L6" s="29" t="inlineStr">
        <is>
          <t>N/A</t>
        </is>
      </c>
      <c r="M6" s="29" t="inlineStr">
        <is>
          <t>Pass</t>
        </is>
      </c>
      <c r="N6" s="29" t="inlineStr">
        <is>
          <t>Pass</t>
        </is>
      </c>
      <c r="O6" s="29" t="inlineStr">
        <is>
          <t>Pass</t>
        </is>
      </c>
      <c r="P6" s="29" t="inlineStr">
        <is>
          <t>M5</t>
        </is>
      </c>
    </row>
    <row r="7">
      <c r="A7" s="27" t="inlineStr">
        <is>
          <t>Resume storage</t>
        </is>
      </c>
      <c r="B7" s="27" t="inlineStr">
        <is>
          <t>N/A</t>
        </is>
      </c>
      <c r="C7" s="27" t="inlineStr">
        <is>
          <t>Pass</t>
        </is>
      </c>
      <c r="D7" s="27" t="inlineStr">
        <is>
          <t>Pass</t>
        </is>
      </c>
      <c r="E7" s="27" t="inlineStr">
        <is>
          <t>Pass</t>
        </is>
      </c>
      <c r="F7" s="27" t="inlineStr">
        <is>
          <t>Pass</t>
        </is>
      </c>
      <c r="G7" s="27" t="inlineStr">
        <is>
          <t>Pass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Pass</t>
        </is>
      </c>
      <c r="K7" s="27" t="inlineStr">
        <is>
          <t>Pass</t>
        </is>
      </c>
      <c r="L7" s="27" t="inlineStr">
        <is>
          <t>Pass</t>
        </is>
      </c>
      <c r="M7" s="27" t="inlineStr">
        <is>
          <t>Pass</t>
        </is>
      </c>
      <c r="N7" s="27" t="inlineStr">
        <is>
          <t>Pass</t>
        </is>
      </c>
      <c r="O7" s="27" t="inlineStr">
        <is>
          <t>Pass</t>
        </is>
      </c>
      <c r="P7" s="27" t="inlineStr">
        <is>
          <t>Bucket RLS</t>
        </is>
      </c>
    </row>
    <row r="8">
      <c r="A8" s="29" t="inlineStr">
        <is>
          <t>.env.production history</t>
        </is>
      </c>
      <c r="B8" s="29" t="inlineStr">
        <is>
          <t>N/A</t>
        </is>
      </c>
      <c r="C8" s="29" t="inlineStr">
        <is>
          <t>N/A</t>
        </is>
      </c>
      <c r="D8" s="29" t="inlineStr">
        <is>
          <t>N/A</t>
        </is>
      </c>
      <c r="E8" s="29" t="inlineStr">
        <is>
          <t>N/A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Fail</t>
        </is>
      </c>
      <c r="K8" s="29" t="inlineStr">
        <is>
          <t>N/A</t>
        </is>
      </c>
      <c r="L8" s="29" t="inlineStr">
        <is>
          <t>N/A</t>
        </is>
      </c>
      <c r="M8" s="29" t="inlineStr">
        <is>
          <t>Partial</t>
        </is>
      </c>
      <c r="N8" s="29" t="inlineStr">
        <is>
          <t>N/A</t>
        </is>
      </c>
      <c r="O8" s="29" t="inlineStr">
        <is>
          <t>Fail</t>
        </is>
      </c>
      <c r="P8" s="29" t="inlineStr">
        <is>
          <t>Rotate anon key</t>
        </is>
      </c>
    </row>
  </sheetData>
  <autoFilter ref="A2:P8"/>
  <mergeCells count="1">
    <mergeCell ref="A1:H1"/>
  </mergeCells>
  <conditionalFormatting sqref="O3:O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14">
    <dataValidation sqref="B3:B5000" showDropDown="0" showInputMessage="0" showErrorMessage="0" allowBlank="1" errorTitle="Invalid" error="Pick a value from the list" type="list">
      <formula1>Lists!$O$2:$O$6</formula1>
    </dataValidation>
    <dataValidation sqref="C3:C5000" showDropDown="0" showInputMessage="0" showErrorMessage="0" allowBlank="1" errorTitle="Invalid" error="Pick a value from the list" type="list">
      <formula1>Lists!$O$2:$O$6</formula1>
    </dataValidation>
    <dataValidation sqref="D3:D5000" showDropDown="0" showInputMessage="0" showErrorMessage="0" allowBlank="1" errorTitle="Invalid" error="Pick a value from the list" type="list">
      <formula1>Lists!$O$2:$O$6</formula1>
    </dataValidation>
    <dataValidation sqref="E3:E5000" showDropDown="0" showInputMessage="0" showErrorMessage="0" allowBlank="1" errorTitle="Invalid" error="Pick a value from the list" type="list">
      <formula1>Lists!$O$2:$O$6</formula1>
    </dataValidation>
    <dataValidation sqref="F3:F5000" showDropDown="0" showInputMessage="0" showErrorMessage="0" allowBlank="1" errorTitle="Invalid" error="Pick a value from the list" type="list">
      <formula1>Lists!$O$2:$O$6</formula1>
    </dataValidation>
    <dataValidation sqref="G3:G5000" showDropDown="0" showInputMessage="0" showErrorMessage="0" allowBlank="1" errorTitle="Invalid" error="Pick a value from the list" type="list">
      <formula1>Lists!$O$2:$O$6</formula1>
    </dataValidation>
    <dataValidation sqref="H3:H5000" showDropDown="0" showInputMessage="0" showErrorMessage="0" allowBlank="1" errorTitle="Invalid" error="Pick a value from the list" type="list">
      <formula1>Lists!$O$2:$O$6</formula1>
    </dataValidation>
    <dataValidation sqref="I3:I5000" showDropDown="0" showInputMessage="0" showErrorMessage="0" allowBlank="1" errorTitle="Invalid" error="Pick a value from the list" type="list">
      <formula1>Lists!$O$2:$O$6</formula1>
    </dataValidation>
    <dataValidation sqref="J3:J5000" showDropDown="0" showInputMessage="0" showErrorMessage="0" allowBlank="1" errorTitle="Invalid" error="Pick a value from the list" type="list">
      <formula1>Lists!$O$2:$O$6</formula1>
    </dataValidation>
    <dataValidation sqref="K3:K5000" showDropDown="0" showInputMessage="0" showErrorMessage="0" allowBlank="1" errorTitle="Invalid" error="Pick a value from the list" type="list">
      <formula1>Lists!$O$2:$O$6</formula1>
    </dataValidation>
    <dataValidation sqref="L3:L5000" showDropDown="0" showInputMessage="0" showErrorMessage="0" allowBlank="1" errorTitle="Invalid" error="Pick a value from the list" type="list">
      <formula1>Lists!$O$2:$O$6</formula1>
    </dataValidation>
    <dataValidation sqref="M3:M5000" showDropDown="0" showInputMessage="0" showErrorMessage="0" allowBlank="1" errorTitle="Invalid" error="Pick a value from the list" type="list">
      <formula1>Lists!$O$2:$O$6</formula1>
    </dataValidation>
    <dataValidation sqref="N3:N5000" showDropDown="0" showInputMessage="0" showErrorMessage="0" allowBlank="1" errorTitle="Invalid" error="Pick a value from the list" type="list">
      <formula1>Lists!$O$2:$O$6</formula1>
    </dataValidation>
    <dataValidation sqref="O3:O5000" showDropDown="0" showInputMessage="0" showErrorMessage="0" allowBlank="1" errorTitle="Invalid" error="Pick a value from the list" type="list">
      <formula1>Lists!$O$2:$O$6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3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</cols>
  <sheetData>
    <row r="1">
      <c r="A1" s="1" t="inlineStr">
        <is>
          <t>Performance Testing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Screen</t>
        </is>
      </c>
      <c r="B2" s="26" t="inlineStr">
        <is>
          <t>API</t>
        </is>
      </c>
      <c r="C2" s="26" t="inlineStr">
        <is>
          <t>Load Time</t>
        </is>
      </c>
      <c r="D2" s="26" t="inlineStr">
        <is>
          <t>TTFB</t>
        </is>
      </c>
      <c r="E2" s="26" t="inlineStr">
        <is>
          <t>Database Query</t>
        </is>
      </c>
      <c r="F2" s="26" t="inlineStr">
        <is>
          <t>Memory</t>
        </is>
      </c>
      <c r="G2" s="26" t="inlineStr">
        <is>
          <t>CPU</t>
        </is>
      </c>
      <c r="H2" s="26" t="inlineStr">
        <is>
          <t>Network</t>
        </is>
      </c>
      <c r="I2" s="26" t="inlineStr">
        <is>
          <t>Optimization Needed</t>
        </is>
      </c>
      <c r="J2" s="26" t="inlineStr">
        <is>
          <t>Status</t>
        </is>
      </c>
    </row>
    <row r="3">
      <c r="A3" s="27" t="inlineStr">
        <is>
          <t>/app/dashboard</t>
        </is>
      </c>
      <c r="B3" s="27" t="inlineStr">
        <is>
          <t>profile+sessions</t>
        </is>
      </c>
      <c r="C3" s="27" t="inlineStr">
        <is>
          <t>1200ms</t>
        </is>
      </c>
      <c r="D3" s="27" t="inlineStr">
        <is>
          <t>180ms</t>
        </is>
      </c>
      <c r="E3" s="27" t="inlineStr">
        <is>
          <t>90ms</t>
        </is>
      </c>
      <c r="F3" s="27" t="inlineStr">
        <is>
          <t>85MB</t>
        </is>
      </c>
      <c r="G3" s="27" t="inlineStr">
        <is>
          <t>12%</t>
        </is>
      </c>
      <c r="H3" s="27" t="inlineStr">
        <is>
          <t>220KB</t>
        </is>
      </c>
      <c r="I3" s="27" t="inlineStr">
        <is>
          <t>No</t>
        </is>
      </c>
      <c r="J3" s="27" t="inlineStr">
        <is>
          <t>Pass</t>
        </is>
      </c>
    </row>
    <row r="4">
      <c r="A4" s="29" t="inlineStr">
        <is>
          <t>/app/live</t>
        </is>
      </c>
      <c r="B4" s="29" t="inlineStr">
        <is>
          <t>generate-answer</t>
        </is>
      </c>
      <c r="C4" s="29" t="inlineStr">
        <is>
          <t>900ms</t>
        </is>
      </c>
      <c r="D4" s="29" t="inlineStr">
        <is>
          <t>200ms</t>
        </is>
      </c>
      <c r="E4" s="29" t="inlineStr">
        <is>
          <t>40ms</t>
        </is>
      </c>
      <c r="F4" s="29" t="inlineStr">
        <is>
          <t>140MB</t>
        </is>
      </c>
      <c r="G4" s="29" t="inlineStr">
        <is>
          <t>28%</t>
        </is>
      </c>
      <c r="H4" s="29" t="inlineStr">
        <is>
          <t>80KB</t>
        </is>
      </c>
      <c r="I4" s="29" t="inlineStr">
        <is>
          <t>Partial</t>
        </is>
      </c>
      <c r="J4" s="29" t="inlineStr">
        <is>
          <t>Pass</t>
        </is>
      </c>
    </row>
    <row r="5">
      <c r="A5" s="27" t="inlineStr">
        <is>
          <t>/app/admin/users</t>
        </is>
      </c>
      <c r="B5" s="27" t="inlineStr">
        <is>
          <t>paginated users</t>
        </is>
      </c>
      <c r="C5" s="27" t="inlineStr">
        <is>
          <t>2100ms</t>
        </is>
      </c>
      <c r="D5" s="27" t="inlineStr">
        <is>
          <t>320ms</t>
        </is>
      </c>
      <c r="E5" s="27" t="inlineStr">
        <is>
          <t>400ms</t>
        </is>
      </c>
      <c r="F5" s="27" t="inlineStr">
        <is>
          <t>110MB</t>
        </is>
      </c>
      <c r="G5" s="27" t="inlineStr">
        <is>
          <t>18%</t>
        </is>
      </c>
      <c r="H5" s="27" t="inlineStr">
        <is>
          <t>450KB</t>
        </is>
      </c>
      <c r="I5" s="27" t="inlineStr">
        <is>
          <t>Yes</t>
        </is>
      </c>
      <c r="J5" s="27" t="inlineStr">
        <is>
          <t>Partial</t>
        </is>
      </c>
    </row>
    <row r="6">
      <c r="A6" s="29" t="inlineStr">
        <is>
          <t>/pricing</t>
        </is>
      </c>
      <c r="B6" s="29" t="inlineStr">
        <is>
          <t>billing_settings</t>
        </is>
      </c>
      <c r="C6" s="29" t="inlineStr">
        <is>
          <t>800ms</t>
        </is>
      </c>
      <c r="D6" s="29" t="inlineStr">
        <is>
          <t>150ms</t>
        </is>
      </c>
      <c r="E6" s="29" t="inlineStr">
        <is>
          <t>50ms</t>
        </is>
      </c>
      <c r="F6" s="29" t="inlineStr">
        <is>
          <t>70MB</t>
        </is>
      </c>
      <c r="G6" s="29" t="inlineStr">
        <is>
          <t>8%</t>
        </is>
      </c>
      <c r="H6" s="29" t="inlineStr">
        <is>
          <t>160KB</t>
        </is>
      </c>
      <c r="I6" s="29" t="inlineStr">
        <is>
          <t>No</t>
        </is>
      </c>
      <c r="J6" s="29" t="inlineStr">
        <is>
          <t>Pass</t>
        </is>
      </c>
    </row>
    <row r="7">
      <c r="A7" s="27" t="inlineStr">
        <is>
          <t>/app/mock-test/session</t>
        </is>
      </c>
      <c r="B7" s="27" t="inlineStr">
        <is>
          <t>select-test-questions</t>
        </is>
      </c>
      <c r="C7" s="27" t="inlineStr">
        <is>
          <t>1500ms</t>
        </is>
      </c>
      <c r="D7" s="27" t="inlineStr">
        <is>
          <t>250ms</t>
        </is>
      </c>
      <c r="E7" s="27" t="inlineStr">
        <is>
          <t>180ms</t>
        </is>
      </c>
      <c r="F7" s="27" t="inlineStr">
        <is>
          <t>95MB</t>
        </is>
      </c>
      <c r="G7" s="27" t="inlineStr">
        <is>
          <t>15%</t>
        </is>
      </c>
      <c r="H7" s="27" t="inlineStr">
        <is>
          <t>300KB</t>
        </is>
      </c>
      <c r="I7" s="27" t="inlineStr">
        <is>
          <t>Partial</t>
        </is>
      </c>
      <c r="J7" s="27" t="inlineStr">
        <is>
          <t>Pass</t>
        </is>
      </c>
    </row>
  </sheetData>
  <autoFilter ref="A2:J7"/>
  <mergeCells count="1">
    <mergeCell ref="A1:H1"/>
  </mergeCells>
  <conditionalFormatting sqref="J3:J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2">
    <dataValidation sqref="I3:I5000" showDropDown="0" showInputMessage="0" showErrorMessage="0" allowBlank="1" errorTitle="Invalid" error="Pick a value from the list" type="list">
      <formula1>Lists!$I$2:$I$5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16" customWidth="1" min="7" max="7"/>
    <col width="12" customWidth="1" min="8" max="8"/>
    <col width="12" customWidth="1" min="9" max="9"/>
    <col width="17" customWidth="1" min="10" max="10"/>
    <col width="14" customWidth="1" min="11" max="11"/>
    <col width="15" customWidth="1" min="12" max="12"/>
    <col width="12" customWidth="1" min="13" max="13"/>
    <col width="13" customWidth="1" min="14" max="14"/>
    <col width="19" customWidth="1" min="15" max="15"/>
  </cols>
  <sheetData>
    <row r="1">
      <c r="A1" s="1" t="inlineStr">
        <is>
          <t>Domain: Live Coaching &amp; Electron Overlay (replaces Marketplace)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Case ID</t>
        </is>
      </c>
      <c r="B2" s="26" t="inlineStr">
        <is>
          <t>STT Stream</t>
        </is>
      </c>
      <c r="C2" s="26" t="inlineStr">
        <is>
          <t>Diarization</t>
        </is>
      </c>
      <c r="D2" s="26" t="inlineStr">
        <is>
          <t>AI Hint</t>
        </is>
      </c>
      <c r="E2" s="26" t="inlineStr">
        <is>
          <t>AI Answer</t>
        </is>
      </c>
      <c r="F2" s="26" t="inlineStr">
        <is>
          <t>Credit Deduct</t>
        </is>
      </c>
      <c r="G2" s="26" t="inlineStr">
        <is>
          <t>Overlay Window</t>
        </is>
      </c>
      <c r="H2" s="26" t="inlineStr">
        <is>
          <t>Hotkeys</t>
        </is>
      </c>
      <c r="I2" s="26" t="inlineStr">
        <is>
          <t>Pro Gate</t>
        </is>
      </c>
      <c r="J2" s="26" t="inlineStr">
        <is>
          <t>Session Persist</t>
        </is>
      </c>
      <c r="K2" s="26" t="inlineStr">
        <is>
          <t>Debrief Link</t>
        </is>
      </c>
      <c r="L2" s="26" t="inlineStr">
        <is>
          <t>Electron Boot</t>
        </is>
      </c>
      <c r="M2" s="26" t="inlineStr">
        <is>
          <t>Pass</t>
        </is>
      </c>
      <c r="N2" s="26" t="inlineStr">
        <is>
          <t>Status</t>
        </is>
      </c>
      <c r="O2" s="26" t="inlineStr">
        <is>
          <t>Comments</t>
        </is>
      </c>
    </row>
    <row r="3">
      <c r="A3" s="27" t="inlineStr">
        <is>
          <t>LC-01</t>
        </is>
      </c>
      <c r="B3" s="27" t="inlineStr">
        <is>
          <t>Pass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Pass</t>
        </is>
      </c>
      <c r="I3" s="27" t="inlineStr">
        <is>
          <t>Pass</t>
        </is>
      </c>
      <c r="J3" s="27" t="inlineStr">
        <is>
          <t>Pass</t>
        </is>
      </c>
      <c r="K3" s="27" t="inlineStr">
        <is>
          <t>Pass</t>
        </is>
      </c>
      <c r="L3" s="27" t="inlineStr">
        <is>
          <t>Pass</t>
        </is>
      </c>
      <c r="M3" s="27" t="inlineStr">
        <is>
          <t>Pass</t>
        </is>
      </c>
      <c r="N3" s="27" t="inlineStr">
        <is>
          <t>Completed</t>
        </is>
      </c>
      <c r="O3" s="27" t="inlineStr">
        <is>
          <t>Pro happy path</t>
        </is>
      </c>
    </row>
    <row r="4">
      <c r="A4" s="29" t="inlineStr">
        <is>
          <t>LC-02</t>
        </is>
      </c>
      <c r="B4" s="29" t="inlineStr">
        <is>
          <t>Pass</t>
        </is>
      </c>
      <c r="C4" s="29" t="inlineStr">
        <is>
          <t>Pass</t>
        </is>
      </c>
      <c r="D4" s="29" t="inlineStr">
        <is>
          <t>Pass</t>
        </is>
      </c>
      <c r="E4" s="29" t="inlineStr">
        <is>
          <t>N/A</t>
        </is>
      </c>
      <c r="F4" s="29" t="inlineStr">
        <is>
          <t>Pass</t>
        </is>
      </c>
      <c r="G4" s="29" t="inlineStr">
        <is>
          <t>N/A</t>
        </is>
      </c>
      <c r="H4" s="29" t="inlineStr">
        <is>
          <t>N/A</t>
        </is>
      </c>
      <c r="I4" s="29" t="inlineStr">
        <is>
          <t>N/A</t>
        </is>
      </c>
      <c r="J4" s="29" t="inlineStr">
        <is>
          <t>Pass</t>
        </is>
      </c>
      <c r="K4" s="29" t="inlineStr">
        <is>
          <t>Pass</t>
        </is>
      </c>
      <c r="L4" s="29" t="inlineStr">
        <is>
          <t>N/A</t>
        </is>
      </c>
      <c r="M4" s="29" t="inlineStr">
        <is>
          <t>Pass</t>
        </is>
      </c>
      <c r="N4" s="29" t="inlineStr">
        <is>
          <t>Completed</t>
        </is>
      </c>
      <c r="O4" s="29" t="inlineStr">
        <is>
          <t>Web live</t>
        </is>
      </c>
    </row>
    <row r="5">
      <c r="A5" s="27" t="inlineStr">
        <is>
          <t>LC-03</t>
        </is>
      </c>
      <c r="B5" s="27" t="inlineStr">
        <is>
          <t>Pass</t>
        </is>
      </c>
      <c r="C5" s="27" t="inlineStr">
        <is>
          <t>Partial</t>
        </is>
      </c>
      <c r="D5" s="27" t="inlineStr">
        <is>
          <t>Fail</t>
        </is>
      </c>
      <c r="E5" s="27" t="inlineStr">
        <is>
          <t>Fail</t>
        </is>
      </c>
      <c r="F5" s="27" t="inlineStr">
        <is>
          <t>N/A</t>
        </is>
      </c>
      <c r="G5" s="27" t="inlineStr">
        <is>
          <t>N/A</t>
        </is>
      </c>
      <c r="H5" s="27" t="inlineStr">
        <is>
          <t>N/A</t>
        </is>
      </c>
      <c r="I5" s="27" t="inlineStr">
        <is>
          <t>Pass</t>
        </is>
      </c>
      <c r="J5" s="27" t="inlineStr">
        <is>
          <t>N/A</t>
        </is>
      </c>
      <c r="K5" s="27" t="inlineStr">
        <is>
          <t>N/A</t>
        </is>
      </c>
      <c r="L5" s="27" t="inlineStr">
        <is>
          <t>N/A</t>
        </is>
      </c>
      <c r="M5" s="27" t="inlineStr">
        <is>
          <t>Fail</t>
        </is>
      </c>
      <c r="N5" s="27" t="inlineStr">
        <is>
          <t>In Progress</t>
        </is>
      </c>
      <c r="O5" s="27" t="inlineStr">
        <is>
          <t>402 path TC-011</t>
        </is>
      </c>
    </row>
    <row r="6">
      <c r="A6" s="29" t="inlineStr">
        <is>
          <t>LC-04</t>
        </is>
      </c>
      <c r="B6" s="29" t="inlineStr">
        <is>
          <t>N/A</t>
        </is>
      </c>
      <c r="C6" s="29" t="inlineStr">
        <is>
          <t>N/A</t>
        </is>
      </c>
      <c r="D6" s="29" t="inlineStr">
        <is>
          <t>N/A</t>
        </is>
      </c>
      <c r="E6" s="29" t="inlineStr">
        <is>
          <t>N/A</t>
        </is>
      </c>
      <c r="F6" s="29" t="inlineStr">
        <is>
          <t>N/A</t>
        </is>
      </c>
      <c r="G6" s="29" t="inlineStr">
        <is>
          <t>Not Run</t>
        </is>
      </c>
      <c r="H6" s="29" t="inlineStr">
        <is>
          <t>Pass</t>
        </is>
      </c>
      <c r="I6" s="29" t="inlineStr">
        <is>
          <t>Pass</t>
        </is>
      </c>
      <c r="J6" s="29" t="inlineStr">
        <is>
          <t>N/A</t>
        </is>
      </c>
      <c r="K6" s="29" t="inlineStr">
        <is>
          <t>N/A</t>
        </is>
      </c>
      <c r="L6" s="29" t="inlineStr">
        <is>
          <t>Not Run</t>
        </is>
      </c>
      <c r="M6" s="29" t="inlineStr">
        <is>
          <t>Not Run</t>
        </is>
      </c>
      <c r="N6" s="29" t="inlineStr">
        <is>
          <t>Ready</t>
        </is>
      </c>
      <c r="O6" s="29" t="inlineStr">
        <is>
          <t>Packaged unsigned</t>
        </is>
      </c>
    </row>
    <row r="7">
      <c r="A7" s="27" t="inlineStr">
        <is>
          <t>LC-05</t>
        </is>
      </c>
      <c r="B7" s="27" t="inlineStr">
        <is>
          <t>Pass</t>
        </is>
      </c>
      <c r="C7" s="27" t="inlineStr">
        <is>
          <t>Pass</t>
        </is>
      </c>
      <c r="D7" s="27" t="inlineStr">
        <is>
          <t>Pass</t>
        </is>
      </c>
      <c r="E7" s="27" t="inlineStr">
        <is>
          <t>Pass</t>
        </is>
      </c>
      <c r="F7" s="27" t="inlineStr">
        <is>
          <t>Pass</t>
        </is>
      </c>
      <c r="G7" s="27" t="inlineStr">
        <is>
          <t>Pass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Pass</t>
        </is>
      </c>
      <c r="K7" s="27" t="inlineStr">
        <is>
          <t>Pass</t>
        </is>
      </c>
      <c r="L7" s="27" t="inlineStr">
        <is>
          <t>Partial</t>
        </is>
      </c>
      <c r="M7" s="27" t="inlineStr">
        <is>
          <t>Pass</t>
        </is>
      </c>
      <c r="N7" s="27" t="inlineStr">
        <is>
          <t>Completed</t>
        </is>
      </c>
      <c r="O7" s="27" t="inlineStr">
        <is>
          <t>Hotkey no dup</t>
        </is>
      </c>
    </row>
  </sheetData>
  <autoFilter ref="A2:O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J3:J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K3:K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L3:L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M3:M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dataValidations count="13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  <dataValidation sqref="N3:N5000" showDropDown="0" showInputMessage="0" showErrorMessage="0" allowBlank="1" errorTitle="Invalid" error="Pick a value from the list" type="list">
      <formula1>Lists!$A$2:$A$9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3" customWidth="1" min="3" max="3"/>
    <col width="15" customWidth="1" min="4" max="4"/>
    <col width="12" customWidth="1" min="5" max="5"/>
    <col width="13" customWidth="1" min="6" max="6"/>
    <col width="15" customWidth="1" min="7" max="7"/>
    <col width="15" customWidth="1" min="8" max="8"/>
    <col width="12" customWidth="1" min="9" max="9"/>
    <col width="12" customWidth="1" min="10" max="10"/>
    <col width="14" customWidth="1" min="11" max="11"/>
    <col width="12" customWidth="1" min="12" max="12"/>
    <col width="15" customWidth="1" min="13" max="13"/>
    <col width="12" customWidth="1" min="14" max="14"/>
    <col width="12" customWidth="1" min="15" max="15"/>
    <col width="20" customWidth="1" min="16" max="16"/>
  </cols>
  <sheetData>
    <row r="1">
      <c r="A1" s="1" t="inlineStr">
        <is>
          <t>Domain: Gov Exam Mock Test Engine (replaces Checkout)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Case ID</t>
        </is>
      </c>
      <c r="B2" s="26" t="inlineStr">
        <is>
          <t>Exam Select</t>
        </is>
      </c>
      <c r="C2" s="26" t="inlineStr">
        <is>
          <t>Create Test</t>
        </is>
      </c>
      <c r="D2" s="26" t="inlineStr">
        <is>
          <t>Question Load</t>
        </is>
      </c>
      <c r="E2" s="26" t="inlineStr">
        <is>
          <t>Timer</t>
        </is>
      </c>
      <c r="F2" s="26" t="inlineStr">
        <is>
          <t>Answer Save</t>
        </is>
      </c>
      <c r="G2" s="26" t="inlineStr">
        <is>
          <t>Submit Atomic</t>
        </is>
      </c>
      <c r="H2" s="26" t="inlineStr">
        <is>
          <t>Score Persist</t>
        </is>
      </c>
      <c r="I2" s="26" t="inlineStr">
        <is>
          <t>Results UI</t>
        </is>
      </c>
      <c r="J2" s="26" t="inlineStr">
        <is>
          <t>Analytics</t>
        </is>
      </c>
      <c r="K2" s="26" t="inlineStr">
        <is>
          <t>Admin Filter</t>
        </is>
      </c>
      <c r="L2" s="26" t="inlineStr">
        <is>
          <t>PDF Import</t>
        </is>
      </c>
      <c r="M2" s="26" t="inlineStr">
        <is>
          <t>Bank Coverage</t>
        </is>
      </c>
      <c r="N2" s="26" t="inlineStr">
        <is>
          <t>Pass</t>
        </is>
      </c>
      <c r="O2" s="26" t="inlineStr">
        <is>
          <t>Status</t>
        </is>
      </c>
      <c r="P2" s="26" t="inlineStr">
        <is>
          <t>Comments</t>
        </is>
      </c>
    </row>
    <row r="3">
      <c r="A3" s="27" t="inlineStr">
        <is>
          <t>GE-01</t>
        </is>
      </c>
      <c r="B3" s="27" t="inlineStr">
        <is>
          <t>Pass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Pass</t>
        </is>
      </c>
      <c r="I3" s="27" t="inlineStr">
        <is>
          <t>Pass</t>
        </is>
      </c>
      <c r="J3" s="27" t="inlineStr">
        <is>
          <t>Pass</t>
        </is>
      </c>
      <c r="K3" s="27" t="inlineStr">
        <is>
          <t>N/A</t>
        </is>
      </c>
      <c r="L3" s="27" t="inlineStr">
        <is>
          <t>N/A</t>
        </is>
      </c>
      <c r="M3" s="27" t="inlineStr">
        <is>
          <t>Partial</t>
        </is>
      </c>
      <c r="N3" s="27" t="inlineStr">
        <is>
          <t>Pass</t>
        </is>
      </c>
      <c r="O3" s="27" t="inlineStr">
        <is>
          <t>Completed</t>
        </is>
      </c>
      <c r="P3" s="27" t="inlineStr">
        <is>
          <t>Happy path</t>
        </is>
      </c>
    </row>
    <row r="4">
      <c r="A4" s="29" t="inlineStr">
        <is>
          <t>GE-02</t>
        </is>
      </c>
      <c r="B4" s="29" t="inlineStr">
        <is>
          <t>Pass</t>
        </is>
      </c>
      <c r="C4" s="29" t="inlineStr">
        <is>
          <t>Pass</t>
        </is>
      </c>
      <c r="D4" s="29" t="inlineStr">
        <is>
          <t>Pass</t>
        </is>
      </c>
      <c r="E4" s="29" t="inlineStr">
        <is>
          <t>Pass</t>
        </is>
      </c>
      <c r="F4" s="29" t="inlineStr">
        <is>
          <t>Pass</t>
        </is>
      </c>
      <c r="G4" s="29" t="inlineStr">
        <is>
          <t>Pass</t>
        </is>
      </c>
      <c r="H4" s="29" t="inlineStr">
        <is>
          <t>Pass</t>
        </is>
      </c>
      <c r="I4" s="29" t="inlineStr">
        <is>
          <t>Pass</t>
        </is>
      </c>
      <c r="J4" s="29" t="inlineStr">
        <is>
          <t>Partial</t>
        </is>
      </c>
      <c r="K4" s="29" t="inlineStr">
        <is>
          <t>N/A</t>
        </is>
      </c>
      <c r="L4" s="29" t="inlineStr">
        <is>
          <t>N/A</t>
        </is>
      </c>
      <c r="M4" s="29" t="inlineStr">
        <is>
          <t>Partial</t>
        </is>
      </c>
      <c r="N4" s="29" t="inlineStr">
        <is>
          <t>Pass</t>
        </is>
      </c>
      <c r="O4" s="29" t="inlineStr">
        <is>
          <t>Completed</t>
        </is>
      </c>
      <c r="P4" s="29" t="inlineStr">
        <is>
          <t>Idempotent submit</t>
        </is>
      </c>
    </row>
    <row r="5">
      <c r="A5" s="27" t="inlineStr">
        <is>
          <t>GE-03</t>
        </is>
      </c>
      <c r="B5" s="27" t="inlineStr">
        <is>
          <t>Pass</t>
        </is>
      </c>
      <c r="C5" s="27" t="inlineStr">
        <is>
          <t>Pass</t>
        </is>
      </c>
      <c r="D5" s="27" t="inlineStr">
        <is>
          <t>Pass</t>
        </is>
      </c>
      <c r="E5" s="27" t="inlineStr">
        <is>
          <t>Pass</t>
        </is>
      </c>
      <c r="F5" s="27" t="inlineStr">
        <is>
          <t>Pass</t>
        </is>
      </c>
      <c r="G5" s="27" t="inlineStr">
        <is>
          <t>Pass</t>
        </is>
      </c>
      <c r="H5" s="27" t="inlineStr">
        <is>
          <t>Pass</t>
        </is>
      </c>
      <c r="I5" s="27" t="inlineStr">
        <is>
          <t>Pass</t>
        </is>
      </c>
      <c r="J5" s="27" t="inlineStr">
        <is>
          <t>Pass</t>
        </is>
      </c>
      <c r="K5" s="27" t="inlineStr">
        <is>
          <t>N/A</t>
        </is>
      </c>
      <c r="L5" s="27" t="inlineStr">
        <is>
          <t>N/A</t>
        </is>
      </c>
      <c r="M5" s="27" t="inlineStr">
        <is>
          <t>Pass</t>
        </is>
      </c>
      <c r="N5" s="27" t="inlineStr">
        <is>
          <t>Pass</t>
        </is>
      </c>
      <c r="O5" s="27" t="inlineStr">
        <is>
          <t>Completed</t>
        </is>
      </c>
      <c r="P5" s="27" t="inlineStr">
        <is>
          <t>Expanded MCQ seeds</t>
        </is>
      </c>
    </row>
    <row r="6">
      <c r="A6" s="29" t="inlineStr">
        <is>
          <t>GE-04</t>
        </is>
      </c>
      <c r="B6" s="29" t="inlineStr">
        <is>
          <t>N/A</t>
        </is>
      </c>
      <c r="C6" s="29" t="inlineStr">
        <is>
          <t>N/A</t>
        </is>
      </c>
      <c r="D6" s="29" t="inlineStr">
        <is>
          <t>N/A</t>
        </is>
      </c>
      <c r="E6" s="29" t="inlineStr">
        <is>
          <t>N/A</t>
        </is>
      </c>
      <c r="F6" s="29" t="inlineStr">
        <is>
          <t>N/A</t>
        </is>
      </c>
      <c r="G6" s="29" t="inlineStr">
        <is>
          <t>N/A</t>
        </is>
      </c>
      <c r="H6" s="29" t="inlineStr">
        <is>
          <t>N/A</t>
        </is>
      </c>
      <c r="I6" s="29" t="inlineStr">
        <is>
          <t>N/A</t>
        </is>
      </c>
      <c r="J6" s="29" t="inlineStr">
        <is>
          <t>N/A</t>
        </is>
      </c>
      <c r="K6" s="29" t="inlineStr">
        <is>
          <t>Pass</t>
        </is>
      </c>
      <c r="L6" s="29" t="inlineStr">
        <is>
          <t>N/A</t>
        </is>
      </c>
      <c r="M6" s="29" t="inlineStr">
        <is>
          <t>N/A</t>
        </is>
      </c>
      <c r="N6" s="29" t="inlineStr">
        <is>
          <t>Pass</t>
        </is>
      </c>
      <c r="O6" s="29" t="inlineStr">
        <is>
          <t>Completed</t>
        </is>
      </c>
      <c r="P6" s="29" t="inlineStr">
        <is>
          <t>P1-5 filter</t>
        </is>
      </c>
    </row>
    <row r="7">
      <c r="A7" s="27" t="inlineStr">
        <is>
          <t>GE-05</t>
        </is>
      </c>
      <c r="B7" s="27" t="inlineStr">
        <is>
          <t>N/A</t>
        </is>
      </c>
      <c r="C7" s="27" t="inlineStr">
        <is>
          <t>N/A</t>
        </is>
      </c>
      <c r="D7" s="27" t="inlineStr">
        <is>
          <t>N/A</t>
        </is>
      </c>
      <c r="E7" s="27" t="inlineStr">
        <is>
          <t>N/A</t>
        </is>
      </c>
      <c r="F7" s="27" t="inlineStr">
        <is>
          <t>N/A</t>
        </is>
      </c>
      <c r="G7" s="27" t="inlineStr">
        <is>
          <t>N/A</t>
        </is>
      </c>
      <c r="H7" s="27" t="inlineStr">
        <is>
          <t>N/A</t>
        </is>
      </c>
      <c r="I7" s="27" t="inlineStr">
        <is>
          <t>N/A</t>
        </is>
      </c>
      <c r="J7" s="27" t="inlineStr">
        <is>
          <t>N/A</t>
        </is>
      </c>
      <c r="K7" s="27" t="inlineStr">
        <is>
          <t>N/A</t>
        </is>
      </c>
      <c r="L7" s="27" t="inlineStr">
        <is>
          <t>Blocked</t>
        </is>
      </c>
      <c r="M7" s="27" t="inlineStr">
        <is>
          <t>N/A</t>
        </is>
      </c>
      <c r="N7" s="27" t="inlineStr">
        <is>
          <t>Blocked</t>
        </is>
      </c>
      <c r="O7" s="27" t="inlineStr">
        <is>
          <t>Blocked</t>
        </is>
      </c>
      <c r="P7" s="27" t="inlineStr">
        <is>
          <t>Provider quota</t>
        </is>
      </c>
    </row>
  </sheetData>
  <autoFilter ref="A2:P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J3:J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K3:K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L3:L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M3:M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conditionalFormatting sqref="N3:N500">
    <cfRule type="cellIs" priority="205" operator="equal" dxfId="4">
      <formula>"Pass"</formula>
    </cfRule>
    <cfRule type="cellIs" priority="206" operator="equal" dxfId="4">
      <formula>"PASS"</formula>
    </cfRule>
    <cfRule type="cellIs" priority="207" operator="equal" dxfId="4">
      <formula>"Yes"</formula>
    </cfRule>
    <cfRule type="cellIs" priority="208" operator="equal" dxfId="5">
      <formula>"Fail"</formula>
    </cfRule>
    <cfRule type="cellIs" priority="209" operator="equal" dxfId="5">
      <formula>"FAIL"</formula>
    </cfRule>
    <cfRule type="cellIs" priority="210" operator="equal" dxfId="5">
      <formula>"No"</formula>
    </cfRule>
    <cfRule type="cellIs" priority="211" operator="equal" dxfId="6">
      <formula>"In Progress"</formula>
    </cfRule>
    <cfRule type="cellIs" priority="212" operator="equal" dxfId="6">
      <formula>"Blocked"</formula>
    </cfRule>
    <cfRule type="cellIs" priority="213" operator="equal" dxfId="6">
      <formula>"Partial"</formula>
    </cfRule>
    <cfRule type="cellIs" priority="214" operator="equal" dxfId="7">
      <formula>"Not Started"</formula>
    </cfRule>
    <cfRule type="cellIs" priority="215" operator="equal" dxfId="7">
      <formula>"Not Run"</formula>
    </cfRule>
    <cfRule type="cellIs" priority="216" operator="equal" dxfId="7">
      <formula>"Not Tested"</formula>
    </cfRule>
    <cfRule type="cellIs" priority="217" operator="equal" dxfId="7">
      <formula>"N/A"</formula>
    </cfRule>
    <cfRule type="cellIs" priority="218" operator="equal" dxfId="8">
      <formula>"Completed"</formula>
    </cfRule>
    <cfRule type="cellIs" priority="219" operator="equal" dxfId="8">
      <formula>"Complete"</formula>
    </cfRule>
    <cfRule type="cellIs" priority="220" operator="equal" dxfId="8">
      <formula>"Passed"</formula>
    </cfRule>
    <cfRule type="cellIs" priority="221" operator="equal" dxfId="8">
      <formula>"Ready"</formula>
    </cfRule>
  </conditionalFormatting>
  <dataValidations count="14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  <dataValidation sqref="N3:N5000" showDropDown="0" showInputMessage="0" showErrorMessage="0" allowBlank="1" errorTitle="Invalid" error="Pick a value from the list" type="list">
      <formula1>Lists!$B$2:$B$7</formula1>
    </dataValidation>
    <dataValidation sqref="O3:O5000" showDropDown="0" showInputMessage="0" showErrorMessage="0" allowBlank="1" errorTitle="Invalid" error="Pick a value from the list" type="list">
      <formula1>Lists!$A$2:$A$9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9" customWidth="1" min="10" max="10"/>
    <col width="14" customWidth="1" min="11" max="11"/>
    <col width="17" customWidth="1" min="12" max="12"/>
    <col width="12" customWidth="1" min="13" max="13"/>
    <col width="21" customWidth="1" min="14" max="14"/>
    <col width="12" customWidth="1" min="15" max="15"/>
    <col width="12" customWidth="1" min="16" max="16"/>
    <col width="12" customWidth="1" min="17" max="17"/>
    <col width="23" customWidth="1" min="18" max="18"/>
  </cols>
  <sheetData>
    <row r="1">
      <c r="A1" s="1" t="inlineStr">
        <is>
          <t>Domain: Billing, Credits &amp; Subscriptions (replaces Payment)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Case ID</t>
        </is>
      </c>
      <c r="B2" s="26" t="inlineStr">
        <is>
          <t>Gateway</t>
        </is>
      </c>
      <c r="C2" s="26" t="inlineStr">
        <is>
          <t>Success</t>
        </is>
      </c>
      <c r="D2" s="26" t="inlineStr">
        <is>
          <t>Failure</t>
        </is>
      </c>
      <c r="E2" s="26" t="inlineStr">
        <is>
          <t>Cancel</t>
        </is>
      </c>
      <c r="F2" s="26" t="inlineStr">
        <is>
          <t>Timeout</t>
        </is>
      </c>
      <c r="G2" s="26" t="inlineStr">
        <is>
          <t>Webhook</t>
        </is>
      </c>
      <c r="H2" s="26" t="inlineStr">
        <is>
          <t>Refund</t>
        </is>
      </c>
      <c r="I2" s="26" t="inlineStr">
        <is>
          <t>Partial Refund</t>
        </is>
      </c>
      <c r="J2" s="26" t="inlineStr">
        <is>
          <t>Duplicate Payment</t>
        </is>
      </c>
      <c r="K2" s="26" t="inlineStr">
        <is>
          <t>Credit Grant</t>
        </is>
      </c>
      <c r="L2" s="26" t="inlineStr">
        <is>
          <t>Credit Clawback</t>
        </is>
      </c>
      <c r="M2" s="26" t="inlineStr">
        <is>
          <t>Plan Gate</t>
        </is>
      </c>
      <c r="N2" s="26" t="inlineStr">
        <is>
          <t>Transaction History</t>
        </is>
      </c>
      <c r="O2" s="26" t="inlineStr">
        <is>
          <t>Settlement</t>
        </is>
      </c>
      <c r="P2" s="26" t="inlineStr">
        <is>
          <t>Pass</t>
        </is>
      </c>
      <c r="Q2" s="26" t="inlineStr">
        <is>
          <t>Status</t>
        </is>
      </c>
      <c r="R2" s="26" t="inlineStr">
        <is>
          <t>Comments</t>
        </is>
      </c>
    </row>
    <row r="3">
      <c r="A3" s="27" t="inlineStr">
        <is>
          <t>BL-01</t>
        </is>
      </c>
      <c r="B3" s="27" t="inlineStr">
        <is>
          <t>Stripe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Not Run</t>
        </is>
      </c>
      <c r="G3" s="27" t="inlineStr">
        <is>
          <t>Pass</t>
        </is>
      </c>
      <c r="H3" s="27" t="inlineStr">
        <is>
          <t>Not Run</t>
        </is>
      </c>
      <c r="I3" s="27" t="inlineStr">
        <is>
          <t>Not Run</t>
        </is>
      </c>
      <c r="J3" s="27" t="inlineStr">
        <is>
          <t>Pass</t>
        </is>
      </c>
      <c r="K3" s="27" t="inlineStr">
        <is>
          <t>Pass</t>
        </is>
      </c>
      <c r="L3" s="27" t="inlineStr">
        <is>
          <t>N/A</t>
        </is>
      </c>
      <c r="M3" s="27" t="inlineStr">
        <is>
          <t>Pass</t>
        </is>
      </c>
      <c r="N3" s="27" t="inlineStr">
        <is>
          <t>Pass</t>
        </is>
      </c>
      <c r="O3" s="27" t="inlineStr">
        <is>
          <t>N/A</t>
        </is>
      </c>
      <c r="P3" s="27" t="inlineStr">
        <is>
          <t>Pass</t>
        </is>
      </c>
      <c r="Q3" s="27" t="inlineStr">
        <is>
          <t>Completed</t>
        </is>
      </c>
      <c r="R3" s="27" t="inlineStr">
        <is>
          <t>Pro monthly</t>
        </is>
      </c>
    </row>
    <row r="4">
      <c r="A4" s="29" t="inlineStr">
        <is>
          <t>BL-02</t>
        </is>
      </c>
      <c r="B4" s="29" t="inlineStr">
        <is>
          <t>Stripe</t>
        </is>
      </c>
      <c r="C4" s="29" t="inlineStr">
        <is>
          <t>Pass</t>
        </is>
      </c>
      <c r="D4" s="29" t="inlineStr">
        <is>
          <t>N/A</t>
        </is>
      </c>
      <c r="E4" s="29" t="inlineStr">
        <is>
          <t>N/A</t>
        </is>
      </c>
      <c r="F4" s="29" t="inlineStr">
        <is>
          <t>N/A</t>
        </is>
      </c>
      <c r="G4" s="29" t="inlineStr">
        <is>
          <t>Pass</t>
        </is>
      </c>
      <c r="H4" s="29" t="inlineStr">
        <is>
          <t>N/A</t>
        </is>
      </c>
      <c r="I4" s="29" t="inlineStr">
        <is>
          <t>N/A</t>
        </is>
      </c>
      <c r="J4" s="29" t="inlineStr">
        <is>
          <t>N/A</t>
        </is>
      </c>
      <c r="K4" s="29" t="inlineStr">
        <is>
          <t>Pass</t>
        </is>
      </c>
      <c r="L4" s="29" t="inlineStr">
        <is>
          <t>N/A</t>
        </is>
      </c>
      <c r="M4" s="29" t="inlineStr">
        <is>
          <t>Pass</t>
        </is>
      </c>
      <c r="N4" s="29" t="inlineStr">
        <is>
          <t>Pass</t>
        </is>
      </c>
      <c r="O4" s="29" t="inlineStr">
        <is>
          <t>N/A</t>
        </is>
      </c>
      <c r="P4" s="29" t="inlineStr">
        <is>
          <t>Pass</t>
        </is>
      </c>
      <c r="Q4" s="29" t="inlineStr">
        <is>
          <t>Completed</t>
        </is>
      </c>
      <c r="R4" s="29" t="inlineStr">
        <is>
          <t>Max price IDs</t>
        </is>
      </c>
    </row>
    <row r="5">
      <c r="A5" s="27" t="inlineStr">
        <is>
          <t>BL-03</t>
        </is>
      </c>
      <c r="B5" s="27" t="inlineStr">
        <is>
          <t>Stripe</t>
        </is>
      </c>
      <c r="C5" s="27" t="inlineStr">
        <is>
          <t>N/A</t>
        </is>
      </c>
      <c r="D5" s="27" t="inlineStr">
        <is>
          <t>Pass</t>
        </is>
      </c>
      <c r="E5" s="27" t="inlineStr">
        <is>
          <t>N/A</t>
        </is>
      </c>
      <c r="F5" s="27" t="inlineStr">
        <is>
          <t>N/A</t>
        </is>
      </c>
      <c r="G5" s="27" t="inlineStr">
        <is>
          <t>Pass</t>
        </is>
      </c>
      <c r="H5" s="27" t="inlineStr">
        <is>
          <t>N/A</t>
        </is>
      </c>
      <c r="I5" s="27" t="inlineStr">
        <is>
          <t>N/A</t>
        </is>
      </c>
      <c r="J5" s="27" t="inlineStr">
        <is>
          <t>N/A</t>
        </is>
      </c>
      <c r="K5" s="27" t="inlineStr">
        <is>
          <t>N/A</t>
        </is>
      </c>
      <c r="L5" s="27" t="inlineStr">
        <is>
          <t>N/A</t>
        </is>
      </c>
      <c r="M5" s="27" t="inlineStr">
        <is>
          <t>N/A</t>
        </is>
      </c>
      <c r="N5" s="27" t="inlineStr">
        <is>
          <t>Pass</t>
        </is>
      </c>
      <c r="O5" s="27" t="inlineStr">
        <is>
          <t>N/A</t>
        </is>
      </c>
      <c r="P5" s="27" t="inlineStr">
        <is>
          <t>Pass</t>
        </is>
      </c>
      <c r="Q5" s="27" t="inlineStr">
        <is>
          <t>Completed</t>
        </is>
      </c>
      <c r="R5" s="27" t="inlineStr">
        <is>
          <t>payment_failed wallet</t>
        </is>
      </c>
    </row>
    <row r="6">
      <c r="A6" s="29" t="inlineStr">
        <is>
          <t>BL-04</t>
        </is>
      </c>
      <c r="B6" s="29" t="inlineStr">
        <is>
          <t>Razorpay</t>
        </is>
      </c>
      <c r="C6" s="29" t="inlineStr">
        <is>
          <t>Pass</t>
        </is>
      </c>
      <c r="D6" s="29" t="inlineStr">
        <is>
          <t>Pass</t>
        </is>
      </c>
      <c r="E6" s="29" t="inlineStr">
        <is>
          <t>Pass</t>
        </is>
      </c>
      <c r="F6" s="29" t="inlineStr">
        <is>
          <t>Not Run</t>
        </is>
      </c>
      <c r="G6" s="29" t="inlineStr">
        <is>
          <t>Pass</t>
        </is>
      </c>
      <c r="H6" s="29" t="inlineStr">
        <is>
          <t>Not Run</t>
        </is>
      </c>
      <c r="I6" s="29" t="inlineStr">
        <is>
          <t>N/A</t>
        </is>
      </c>
      <c r="J6" s="29" t="inlineStr">
        <is>
          <t>Pass</t>
        </is>
      </c>
      <c r="K6" s="29" t="inlineStr">
        <is>
          <t>Pass</t>
        </is>
      </c>
      <c r="L6" s="29" t="inlineStr">
        <is>
          <t>N/A</t>
        </is>
      </c>
      <c r="M6" s="29" t="inlineStr">
        <is>
          <t>Partial</t>
        </is>
      </c>
      <c r="N6" s="29" t="inlineStr">
        <is>
          <t>Pass</t>
        </is>
      </c>
      <c r="O6" s="29" t="inlineStr">
        <is>
          <t>N/A</t>
        </is>
      </c>
      <c r="P6" s="29" t="inlineStr">
        <is>
          <t>Pass</t>
        </is>
      </c>
      <c r="Q6" s="29" t="inlineStr">
        <is>
          <t>Completed</t>
        </is>
      </c>
      <c r="R6" s="29" t="inlineStr">
        <is>
          <t>One-time only</t>
        </is>
      </c>
    </row>
    <row r="7">
      <c r="A7" s="27" t="inlineStr">
        <is>
          <t>BL-05</t>
        </is>
      </c>
      <c r="B7" s="27" t="inlineStr">
        <is>
          <t>Stripe</t>
        </is>
      </c>
      <c r="C7" s="27" t="inlineStr">
        <is>
          <t>N/A</t>
        </is>
      </c>
      <c r="D7" s="27" t="inlineStr">
        <is>
          <t>N/A</t>
        </is>
      </c>
      <c r="E7" s="27" t="inlineStr">
        <is>
          <t>N/A</t>
        </is>
      </c>
      <c r="F7" s="27" t="inlineStr">
        <is>
          <t>N/A</t>
        </is>
      </c>
      <c r="G7" s="27" t="inlineStr">
        <is>
          <t>Pass</t>
        </is>
      </c>
      <c r="H7" s="27" t="inlineStr">
        <is>
          <t>Not Run</t>
        </is>
      </c>
      <c r="I7" s="27" t="inlineStr">
        <is>
          <t>Not Run</t>
        </is>
      </c>
      <c r="J7" s="27" t="inlineStr">
        <is>
          <t>N/A</t>
        </is>
      </c>
      <c r="K7" s="27" t="inlineStr">
        <is>
          <t>N/A</t>
        </is>
      </c>
      <c r="L7" s="27" t="inlineStr">
        <is>
          <t>Not Run</t>
        </is>
      </c>
      <c r="M7" s="27" t="inlineStr">
        <is>
          <t>N/A</t>
        </is>
      </c>
      <c r="N7" s="27" t="inlineStr">
        <is>
          <t>Pass</t>
        </is>
      </c>
      <c r="O7" s="27" t="inlineStr">
        <is>
          <t>N/A</t>
        </is>
      </c>
      <c r="P7" s="27" t="inlineStr">
        <is>
          <t>Not Run</t>
        </is>
      </c>
      <c r="Q7" s="27" t="inlineStr">
        <is>
          <t>Ready</t>
        </is>
      </c>
      <c r="R7" s="27" t="inlineStr">
        <is>
          <t>P4-2 refund</t>
        </is>
      </c>
    </row>
    <row r="8">
      <c r="A8" s="29" t="inlineStr">
        <is>
          <t>BL-06</t>
        </is>
      </c>
      <c r="B8" s="29" t="inlineStr">
        <is>
          <t>Both</t>
        </is>
      </c>
      <c r="C8" s="29" t="inlineStr">
        <is>
          <t>Pass</t>
        </is>
      </c>
      <c r="D8" s="29" t="inlineStr">
        <is>
          <t>N/A</t>
        </is>
      </c>
      <c r="E8" s="29" t="inlineStr">
        <is>
          <t>N/A</t>
        </is>
      </c>
      <c r="F8" s="29" t="inlineStr">
        <is>
          <t>N/A</t>
        </is>
      </c>
      <c r="G8" s="29" t="inlineStr">
        <is>
          <t>Pass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N/A</t>
        </is>
      </c>
      <c r="K8" s="29" t="inlineStr">
        <is>
          <t>Pass</t>
        </is>
      </c>
      <c r="L8" s="29" t="inlineStr">
        <is>
          <t>N/A</t>
        </is>
      </c>
      <c r="M8" s="29" t="inlineStr">
        <is>
          <t>Pass</t>
        </is>
      </c>
      <c r="N8" s="29" t="inlineStr">
        <is>
          <t>Pass</t>
        </is>
      </c>
      <c r="O8" s="29" t="inlineStr">
        <is>
          <t>N/A</t>
        </is>
      </c>
      <c r="P8" s="29" t="inlineStr">
        <is>
          <t>Pass</t>
        </is>
      </c>
      <c r="Q8" s="29" t="inlineStr">
        <is>
          <t>Completed</t>
        </is>
      </c>
      <c r="R8" s="29" t="inlineStr">
        <is>
          <t>Settings ledger</t>
        </is>
      </c>
    </row>
  </sheetData>
  <autoFilter ref="A2:R8"/>
  <mergeCells count="1">
    <mergeCell ref="A1:H1"/>
  </mergeCells>
  <conditionalFormatting sqref="C3:C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D3:D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E3:E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F3:F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G3:G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H3:H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I3:I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J3:J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K3:K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L3:L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M3:M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N3:N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conditionalFormatting sqref="O3:O500">
    <cfRule type="cellIs" priority="205" operator="equal" dxfId="4">
      <formula>"Pass"</formula>
    </cfRule>
    <cfRule type="cellIs" priority="206" operator="equal" dxfId="4">
      <formula>"PASS"</formula>
    </cfRule>
    <cfRule type="cellIs" priority="207" operator="equal" dxfId="4">
      <formula>"Yes"</formula>
    </cfRule>
    <cfRule type="cellIs" priority="208" operator="equal" dxfId="5">
      <formula>"Fail"</formula>
    </cfRule>
    <cfRule type="cellIs" priority="209" operator="equal" dxfId="5">
      <formula>"FAIL"</formula>
    </cfRule>
    <cfRule type="cellIs" priority="210" operator="equal" dxfId="5">
      <formula>"No"</formula>
    </cfRule>
    <cfRule type="cellIs" priority="211" operator="equal" dxfId="6">
      <formula>"In Progress"</formula>
    </cfRule>
    <cfRule type="cellIs" priority="212" operator="equal" dxfId="6">
      <formula>"Blocked"</formula>
    </cfRule>
    <cfRule type="cellIs" priority="213" operator="equal" dxfId="6">
      <formula>"Partial"</formula>
    </cfRule>
    <cfRule type="cellIs" priority="214" operator="equal" dxfId="7">
      <formula>"Not Started"</formula>
    </cfRule>
    <cfRule type="cellIs" priority="215" operator="equal" dxfId="7">
      <formula>"Not Run"</formula>
    </cfRule>
    <cfRule type="cellIs" priority="216" operator="equal" dxfId="7">
      <formula>"Not Tested"</formula>
    </cfRule>
    <cfRule type="cellIs" priority="217" operator="equal" dxfId="7">
      <formula>"N/A"</formula>
    </cfRule>
    <cfRule type="cellIs" priority="218" operator="equal" dxfId="8">
      <formula>"Completed"</formula>
    </cfRule>
    <cfRule type="cellIs" priority="219" operator="equal" dxfId="8">
      <formula>"Complete"</formula>
    </cfRule>
    <cfRule type="cellIs" priority="220" operator="equal" dxfId="8">
      <formula>"Passed"</formula>
    </cfRule>
    <cfRule type="cellIs" priority="221" operator="equal" dxfId="8">
      <formula>"Ready"</formula>
    </cfRule>
  </conditionalFormatting>
  <conditionalFormatting sqref="P3:P500">
    <cfRule type="cellIs" priority="222" operator="equal" dxfId="4">
      <formula>"Pass"</formula>
    </cfRule>
    <cfRule type="cellIs" priority="223" operator="equal" dxfId="4">
      <formula>"PASS"</formula>
    </cfRule>
    <cfRule type="cellIs" priority="224" operator="equal" dxfId="4">
      <formula>"Yes"</formula>
    </cfRule>
    <cfRule type="cellIs" priority="225" operator="equal" dxfId="5">
      <formula>"Fail"</formula>
    </cfRule>
    <cfRule type="cellIs" priority="226" operator="equal" dxfId="5">
      <formula>"FAIL"</formula>
    </cfRule>
    <cfRule type="cellIs" priority="227" operator="equal" dxfId="5">
      <formula>"No"</formula>
    </cfRule>
    <cfRule type="cellIs" priority="228" operator="equal" dxfId="6">
      <formula>"In Progress"</formula>
    </cfRule>
    <cfRule type="cellIs" priority="229" operator="equal" dxfId="6">
      <formula>"Blocked"</formula>
    </cfRule>
    <cfRule type="cellIs" priority="230" operator="equal" dxfId="6">
      <formula>"Partial"</formula>
    </cfRule>
    <cfRule type="cellIs" priority="231" operator="equal" dxfId="7">
      <formula>"Not Started"</formula>
    </cfRule>
    <cfRule type="cellIs" priority="232" operator="equal" dxfId="7">
      <formula>"Not Run"</formula>
    </cfRule>
    <cfRule type="cellIs" priority="233" operator="equal" dxfId="7">
      <formula>"Not Tested"</formula>
    </cfRule>
    <cfRule type="cellIs" priority="234" operator="equal" dxfId="7">
      <formula>"N/A"</formula>
    </cfRule>
    <cfRule type="cellIs" priority="235" operator="equal" dxfId="8">
      <formula>"Completed"</formula>
    </cfRule>
    <cfRule type="cellIs" priority="236" operator="equal" dxfId="8">
      <formula>"Complete"</formula>
    </cfRule>
    <cfRule type="cellIs" priority="237" operator="equal" dxfId="8">
      <formula>"Passed"</formula>
    </cfRule>
    <cfRule type="cellIs" priority="238" operator="equal" dxfId="8">
      <formula>"Ready"</formula>
    </cfRule>
  </conditionalFormatting>
  <dataValidations count="15"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  <dataValidation sqref="N3:N5000" showDropDown="0" showInputMessage="0" showErrorMessage="0" allowBlank="1" errorTitle="Invalid" error="Pick a value from the list" type="list">
      <formula1>Lists!$B$2:$B$7</formula1>
    </dataValidation>
    <dataValidation sqref="O3:O5000" showDropDown="0" showInputMessage="0" showErrorMessage="0" allowBlank="1" errorTitle="Invalid" error="Pick a value from the list" type="list">
      <formula1>Lists!$B$2:$B$7</formula1>
    </dataValidation>
    <dataValidation sqref="P3:P5000" showDropDown="0" showInputMessage="0" showErrorMessage="0" allowBlank="1" errorTitle="Invalid" error="Pick a value from the list" type="list">
      <formula1>Lists!$B$2:$B$7</formula1>
    </dataValidation>
    <dataValidation sqref="Q3:Q5000" showDropDown="0" showInputMessage="0" showErrorMessage="0" allowBlank="1" errorTitle="Invalid" error="Pick a value from the list" type="list">
      <formula1>Lists!$A$2:$A$9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8" customWidth="1" min="10" max="10"/>
  </cols>
  <sheetData>
    <row r="1">
      <c r="A1" s="1" t="inlineStr">
        <is>
          <t>Role Based Testing — Clarify plan entitlements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Permission/Feature</t>
        </is>
      </c>
      <c r="B2" s="26" t="inlineStr">
        <is>
          <t>Module</t>
        </is>
      </c>
      <c r="C2" s="26" t="inlineStr">
        <is>
          <t>Guest</t>
        </is>
      </c>
      <c r="D2" s="26" t="inlineStr">
        <is>
          <t>Free User</t>
        </is>
      </c>
      <c r="E2" s="26" t="inlineStr">
        <is>
          <t>Pro User</t>
        </is>
      </c>
      <c r="F2" s="26" t="inlineStr">
        <is>
          <t>Max User</t>
        </is>
      </c>
      <c r="G2" s="26" t="inlineStr">
        <is>
          <t>Admin</t>
        </is>
      </c>
      <c r="H2" s="26" t="inlineStr">
        <is>
          <t>Permissions</t>
        </is>
      </c>
      <c r="I2" s="26" t="inlineStr">
        <is>
          <t>Status</t>
        </is>
      </c>
      <c r="J2" s="26" t="inlineStr">
        <is>
          <t>Expected Summary</t>
        </is>
      </c>
    </row>
    <row r="3">
      <c r="A3" s="27" t="inlineStr">
        <is>
          <t>Access /app</t>
        </is>
      </c>
      <c r="B3" s="27" t="inlineStr">
        <is>
          <t>Auth &amp; Onboarding</t>
        </is>
      </c>
      <c r="C3" s="27" t="inlineStr">
        <is>
          <t>No</t>
        </is>
      </c>
      <c r="D3" s="27" t="inlineStr">
        <is>
          <t>Yes</t>
        </is>
      </c>
      <c r="E3" s="27" t="inlineStr">
        <is>
          <t>Yes</t>
        </is>
      </c>
      <c r="F3" s="27" t="inlineStr">
        <is>
          <t>Yes</t>
        </is>
      </c>
      <c r="G3" s="27" t="inlineStr">
        <is>
          <t>Yes</t>
        </is>
      </c>
      <c r="H3" s="27" t="inlineStr">
        <is>
          <t>Auth required</t>
        </is>
      </c>
      <c r="I3" s="27" t="inlineStr">
        <is>
          <t>Pass</t>
        </is>
      </c>
      <c r="J3" s="27" t="inlineStr">
        <is>
          <t>Guests → login</t>
        </is>
      </c>
    </row>
    <row r="4">
      <c r="A4" s="29" t="inlineStr">
        <is>
          <t>Live answer limited</t>
        </is>
      </c>
      <c r="B4" s="29" t="inlineStr">
        <is>
          <t>Live Practice Coach</t>
        </is>
      </c>
      <c r="C4" s="29" t="inlineStr">
        <is>
          <t>No</t>
        </is>
      </c>
      <c r="D4" s="29" t="inlineStr">
        <is>
          <t>Yes</t>
        </is>
      </c>
      <c r="E4" s="29" t="inlineStr">
        <is>
          <t>Yes</t>
        </is>
      </c>
      <c r="F4" s="29" t="inlineStr">
        <is>
          <t>Yes</t>
        </is>
      </c>
      <c r="G4" s="29" t="inlineStr">
        <is>
          <t>Yes</t>
        </is>
      </c>
      <c r="H4" s="29" t="inlineStr">
        <is>
          <t>Free limited</t>
        </is>
      </c>
      <c r="I4" s="29" t="inlineStr">
        <is>
          <t>Pass</t>
        </is>
      </c>
      <c r="J4" s="29" t="inlineStr">
        <is>
          <t>live_rehearsal</t>
        </is>
      </c>
    </row>
    <row r="5">
      <c r="A5" s="27" t="inlineStr">
        <is>
          <t>Desktop overlay</t>
        </is>
      </c>
      <c r="B5" s="27" t="inlineStr">
        <is>
          <t>Live Practice Coach</t>
        </is>
      </c>
      <c r="C5" s="27" t="inlineStr">
        <is>
          <t>No</t>
        </is>
      </c>
      <c r="D5" s="27" t="inlineStr">
        <is>
          <t>No</t>
        </is>
      </c>
      <c r="E5" s="27" t="inlineStr">
        <is>
          <t>Yes</t>
        </is>
      </c>
      <c r="F5" s="27" t="inlineStr">
        <is>
          <t>Yes</t>
        </is>
      </c>
      <c r="G5" s="27" t="inlineStr">
        <is>
          <t>Yes</t>
        </is>
      </c>
      <c r="H5" s="27" t="inlineStr">
        <is>
          <t>Pro+</t>
        </is>
      </c>
      <c r="I5" s="27" t="inlineStr">
        <is>
          <t>Pass</t>
        </is>
      </c>
      <c r="J5" s="27" t="inlineStr">
        <is>
          <t>requirePlan pro</t>
        </is>
      </c>
    </row>
    <row r="6">
      <c r="A6" s="29" t="inlineStr">
        <is>
          <t>Company research</t>
        </is>
      </c>
      <c r="B6" s="29" t="inlineStr">
        <is>
          <t>Company Research</t>
        </is>
      </c>
      <c r="C6" s="29" t="inlineStr">
        <is>
          <t>No</t>
        </is>
      </c>
      <c r="D6" s="29" t="inlineStr">
        <is>
          <t>No</t>
        </is>
      </c>
      <c r="E6" s="29" t="inlineStr">
        <is>
          <t>Yes</t>
        </is>
      </c>
      <c r="F6" s="29" t="inlineStr">
        <is>
          <t>Yes</t>
        </is>
      </c>
      <c r="G6" s="29" t="inlineStr">
        <is>
          <t>Yes</t>
        </is>
      </c>
      <c r="H6" s="29" t="inlineStr">
        <is>
          <t>Pro+</t>
        </is>
      </c>
      <c r="I6" s="29" t="inlineStr">
        <is>
          <t>Pass</t>
        </is>
      </c>
      <c r="J6" s="29" t="inlineStr"/>
    </row>
    <row r="7">
      <c r="A7" s="27" t="inlineStr">
        <is>
          <t>Calendar sync</t>
        </is>
      </c>
      <c r="B7" s="27" t="inlineStr">
        <is>
          <t>Interviews &amp; Calendar</t>
        </is>
      </c>
      <c r="C7" s="27" t="inlineStr">
        <is>
          <t>No</t>
        </is>
      </c>
      <c r="D7" s="27" t="inlineStr">
        <is>
          <t>No</t>
        </is>
      </c>
      <c r="E7" s="27" t="inlineStr">
        <is>
          <t>Yes</t>
        </is>
      </c>
      <c r="F7" s="27" t="inlineStr">
        <is>
          <t>Yes</t>
        </is>
      </c>
      <c r="G7" s="27" t="inlineStr">
        <is>
          <t>Yes</t>
        </is>
      </c>
      <c r="H7" s="27" t="inlineStr">
        <is>
          <t>Pro+</t>
        </is>
      </c>
      <c r="I7" s="27" t="inlineStr">
        <is>
          <t>Pass</t>
        </is>
      </c>
      <c r="J7" s="27" t="inlineStr"/>
    </row>
    <row r="8">
      <c r="A8" s="29" t="inlineStr">
        <is>
          <t>Priority models</t>
        </is>
      </c>
      <c r="B8" s="29" t="inlineStr">
        <is>
          <t>Billing &amp; Credits</t>
        </is>
      </c>
      <c r="C8" s="29" t="inlineStr">
        <is>
          <t>No</t>
        </is>
      </c>
      <c r="D8" s="29" t="inlineStr">
        <is>
          <t>No</t>
        </is>
      </c>
      <c r="E8" s="29" t="inlineStr">
        <is>
          <t>No</t>
        </is>
      </c>
      <c r="F8" s="29" t="inlineStr">
        <is>
          <t>Yes</t>
        </is>
      </c>
      <c r="G8" s="29" t="inlineStr">
        <is>
          <t>Yes</t>
        </is>
      </c>
      <c r="H8" s="29" t="inlineStr">
        <is>
          <t>Max</t>
        </is>
      </c>
      <c r="I8" s="29" t="inlineStr">
        <is>
          <t>Pass</t>
        </is>
      </c>
      <c r="J8" s="29" t="inlineStr"/>
    </row>
    <row r="9">
      <c r="A9" s="27" t="inlineStr">
        <is>
          <t>Admin revenue</t>
        </is>
      </c>
      <c r="B9" s="27" t="inlineStr">
        <is>
          <t>Admin Portal</t>
        </is>
      </c>
      <c r="C9" s="27" t="inlineStr">
        <is>
          <t>No</t>
        </is>
      </c>
      <c r="D9" s="27" t="inlineStr">
        <is>
          <t>No</t>
        </is>
      </c>
      <c r="E9" s="27" t="inlineStr">
        <is>
          <t>No</t>
        </is>
      </c>
      <c r="F9" s="27" t="inlineStr">
        <is>
          <t>No</t>
        </is>
      </c>
      <c r="G9" s="27" t="inlineStr">
        <is>
          <t>Yes</t>
        </is>
      </c>
      <c r="H9" s="27" t="inlineStr">
        <is>
          <t>admin role</t>
        </is>
      </c>
      <c r="I9" s="27" t="inlineStr">
        <is>
          <t>Pass</t>
        </is>
      </c>
      <c r="J9" s="27" t="inlineStr">
        <is>
          <t>requireAdmin</t>
        </is>
      </c>
    </row>
    <row r="10">
      <c r="A10" s="29" t="inlineStr">
        <is>
          <t>Promo CRUD</t>
        </is>
      </c>
      <c r="B10" s="29" t="inlineStr">
        <is>
          <t>Admin Portal</t>
        </is>
      </c>
      <c r="C10" s="29" t="inlineStr">
        <is>
          <t>No</t>
        </is>
      </c>
      <c r="D10" s="29" t="inlineStr">
        <is>
          <t>No</t>
        </is>
      </c>
      <c r="E10" s="29" t="inlineStr">
        <is>
          <t>No</t>
        </is>
      </c>
      <c r="F10" s="29" t="inlineStr">
        <is>
          <t>No</t>
        </is>
      </c>
      <c r="G10" s="29" t="inlineStr">
        <is>
          <t>Yes</t>
        </is>
      </c>
      <c r="H10" s="29" t="inlineStr">
        <is>
          <t>admin</t>
        </is>
      </c>
      <c r="I10" s="29" t="inlineStr">
        <is>
          <t>Pass</t>
        </is>
      </c>
      <c r="J10" s="29" t="inlineStr"/>
    </row>
    <row r="11">
      <c r="A11" s="27" t="inlineStr">
        <is>
          <t>View pricing</t>
        </is>
      </c>
      <c r="B11" s="27" t="inlineStr">
        <is>
          <t>Marketing Site</t>
        </is>
      </c>
      <c r="C11" s="27" t="inlineStr">
        <is>
          <t>Yes</t>
        </is>
      </c>
      <c r="D11" s="27" t="inlineStr">
        <is>
          <t>Yes</t>
        </is>
      </c>
      <c r="E11" s="27" t="inlineStr">
        <is>
          <t>Yes</t>
        </is>
      </c>
      <c r="F11" s="27" t="inlineStr">
        <is>
          <t>Yes</t>
        </is>
      </c>
      <c r="G11" s="27" t="inlineStr">
        <is>
          <t>Yes</t>
        </is>
      </c>
      <c r="H11" s="27" t="inlineStr">
        <is>
          <t>Public</t>
        </is>
      </c>
      <c r="I11" s="27" t="inlineStr">
        <is>
          <t>Pass</t>
        </is>
      </c>
      <c r="J11" s="27" t="inlineStr"/>
    </row>
  </sheetData>
  <autoFilter ref="A2:J11"/>
  <mergeCells count="1">
    <mergeCell ref="A1:H1"/>
  </mergeCells>
  <conditionalFormatting sqref="I3:I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7">
    <dataValidation sqref="C3:C5000" showDropDown="0" showInputMessage="0" showErrorMessage="0" allowBlank="1" errorTitle="Invalid" error="Pick a value from the list" type="list">
      <formula1>Lists!$I$2:$I$5</formula1>
    </dataValidation>
    <dataValidation sqref="D3:D5000" showDropDown="0" showInputMessage="0" showErrorMessage="0" allowBlank="1" errorTitle="Invalid" error="Pick a value from the list" type="list">
      <formula1>Lists!$I$2:$I$5</formula1>
    </dataValidation>
    <dataValidation sqref="E3:E5000" showDropDown="0" showInputMessage="0" showErrorMessage="0" allowBlank="1" errorTitle="Invalid" error="Pick a value from the list" type="list">
      <formula1>Lists!$I$2:$I$5</formula1>
    </dataValidation>
    <dataValidation sqref="F3:F5000" showDropDown="0" showInputMessage="0" showErrorMessage="0" allowBlank="1" errorTitle="Invalid" error="Pick a value from the list" type="list">
      <formula1>Lists!$I$2:$I$5</formula1>
    </dataValidation>
    <dataValidation sqref="G3:G5000" showDropDown="0" showInputMessage="0" showErrorMessage="0" allowBlank="1" errorTitle="Invalid" error="Pick a value from the list" type="list">
      <formula1>Lists!$I$2:$I$5</formula1>
    </dataValidation>
    <dataValidation sqref="B3:B5000" showDropDown="0" showInputMessage="0" showErrorMessage="0" allowBlank="1" errorTitle="Invalid" error="Pick a value from the list" type="list">
      <formula1>Lists!$Z$2:$Z$23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6" customWidth="1" min="2" max="2"/>
    <col width="25" customWidth="1" min="3" max="3"/>
    <col width="14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16" customWidth="1" min="11" max="11"/>
  </cols>
  <sheetData>
    <row r="1">
      <c r="A1" s="1" t="inlineStr">
        <is>
          <t>Regression Testing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Regression ID</t>
        </is>
      </c>
      <c r="B2" s="26" t="inlineStr">
        <is>
          <t>Module</t>
        </is>
      </c>
      <c r="C2" s="26" t="inlineStr">
        <is>
          <t>Feature</t>
        </is>
      </c>
      <c r="D2" s="26" t="inlineStr">
        <is>
          <t>QA Owner</t>
        </is>
      </c>
      <c r="E2" s="26" t="inlineStr">
        <is>
          <t>Executed</t>
        </is>
      </c>
      <c r="F2" s="26" t="inlineStr">
        <is>
          <t>Pass</t>
        </is>
      </c>
      <c r="G2" s="26" t="inlineStr">
        <is>
          <t>Fail</t>
        </is>
      </c>
      <c r="H2" s="26" t="inlineStr">
        <is>
          <t>Blocked</t>
        </is>
      </c>
      <c r="I2" s="26" t="inlineStr">
        <is>
          <t>Est Hours</t>
        </is>
      </c>
      <c r="J2" s="26" t="inlineStr">
        <is>
          <t>Actual Hours</t>
        </is>
      </c>
      <c r="K2" s="26" t="inlineStr">
        <is>
          <t>Remarks</t>
        </is>
      </c>
    </row>
    <row r="3">
      <c r="A3" s="27" t="inlineStr">
        <is>
          <t>REG-01</t>
        </is>
      </c>
      <c r="B3" s="27" t="inlineStr">
        <is>
          <t>Auth &amp; Onboarding</t>
        </is>
      </c>
      <c r="C3" s="27" t="inlineStr">
        <is>
          <t>Login/OAuth/MFA</t>
        </is>
      </c>
      <c r="D3" s="27" t="inlineStr">
        <is>
          <t>Raj Balani</t>
        </is>
      </c>
      <c r="E3" s="27" t="inlineStr">
        <is>
          <t>Yes</t>
        </is>
      </c>
      <c r="F3" s="27" t="n">
        <v>4</v>
      </c>
      <c r="G3" s="27" t="n">
        <v>0</v>
      </c>
      <c r="H3" s="27" t="n">
        <v>0</v>
      </c>
      <c r="I3" s="27" t="n">
        <v>4</v>
      </c>
      <c r="J3" s="27" t="n">
        <v>3.5</v>
      </c>
      <c r="K3" s="27" t="inlineStr">
        <is>
          <t>Smoke green</t>
        </is>
      </c>
    </row>
    <row r="4">
      <c r="A4" s="29" t="inlineStr">
        <is>
          <t>REG-02</t>
        </is>
      </c>
      <c r="B4" s="29" t="inlineStr">
        <is>
          <t>Live Practice Coach</t>
        </is>
      </c>
      <c r="C4" s="29" t="inlineStr">
        <is>
          <t>STT + answer + overlay</t>
        </is>
      </c>
      <c r="D4" s="29" t="inlineStr">
        <is>
          <t>Shreya Patil</t>
        </is>
      </c>
      <c r="E4" s="29" t="inlineStr">
        <is>
          <t>Yes</t>
        </is>
      </c>
      <c r="F4" s="29" t="n">
        <v>4</v>
      </c>
      <c r="G4" s="29" t="n">
        <v>0</v>
      </c>
      <c r="H4" s="29" t="n">
        <v>0</v>
      </c>
      <c r="I4" s="29" t="n">
        <v>6</v>
      </c>
      <c r="J4" s="29" t="n">
        <v>5</v>
      </c>
      <c r="K4" s="29" t="inlineStr">
        <is>
          <t>BUG-001 closed</t>
        </is>
      </c>
    </row>
    <row r="5">
      <c r="A5" s="27" t="inlineStr">
        <is>
          <t>REG-03</t>
        </is>
      </c>
      <c r="B5" s="27" t="inlineStr">
        <is>
          <t>Billing &amp; Credits</t>
        </is>
      </c>
      <c r="C5" s="27" t="inlineStr">
        <is>
          <t>Checkout + webhooks</t>
        </is>
      </c>
      <c r="D5" s="27" t="inlineStr">
        <is>
          <t>Raj Balani</t>
        </is>
      </c>
      <c r="E5" s="27" t="inlineStr">
        <is>
          <t>Yes</t>
        </is>
      </c>
      <c r="F5" s="27" t="n">
        <v>5</v>
      </c>
      <c r="G5" s="27" t="n">
        <v>0</v>
      </c>
      <c r="H5" s="27" t="n">
        <v>0</v>
      </c>
      <c r="I5" s="27" t="n">
        <v>5</v>
      </c>
      <c r="J5" s="27" t="n">
        <v>4.5</v>
      </c>
      <c r="K5" s="27" t="inlineStr">
        <is>
          <t>Money path</t>
        </is>
      </c>
    </row>
    <row r="6">
      <c r="A6" s="29" t="inlineStr">
        <is>
          <t>REG-04</t>
        </is>
      </c>
      <c r="B6" s="29" t="inlineStr">
        <is>
          <t>Gov Exam Mock Tests</t>
        </is>
      </c>
      <c r="C6" s="29" t="inlineStr">
        <is>
          <t>Create/submit/results</t>
        </is>
      </c>
      <c r="D6" s="29" t="inlineStr">
        <is>
          <t>Raj Balani</t>
        </is>
      </c>
      <c r="E6" s="29" t="inlineStr">
        <is>
          <t>Yes</t>
        </is>
      </c>
      <c r="F6" s="29" t="n">
        <v>3</v>
      </c>
      <c r="G6" s="29" t="n">
        <v>0</v>
      </c>
      <c r="H6" s="29" t="n">
        <v>1</v>
      </c>
      <c r="I6" s="29" t="n">
        <v>4</v>
      </c>
      <c r="J6" s="29" t="n">
        <v>3</v>
      </c>
      <c r="K6" s="29" t="inlineStr">
        <is>
          <t>PDF blocked</t>
        </is>
      </c>
    </row>
    <row r="7">
      <c r="A7" s="27" t="inlineStr">
        <is>
          <t>REG-05</t>
        </is>
      </c>
      <c r="B7" s="27" t="inlineStr">
        <is>
          <t>Admin Portal</t>
        </is>
      </c>
      <c r="C7" s="27" t="inlineStr">
        <is>
          <t>Users/revenue/questions</t>
        </is>
      </c>
      <c r="D7" s="27" t="inlineStr">
        <is>
          <t>Raj Balani</t>
        </is>
      </c>
      <c r="E7" s="27" t="inlineStr">
        <is>
          <t>Yes</t>
        </is>
      </c>
      <c r="F7" s="27" t="n">
        <v>4</v>
      </c>
      <c r="G7" s="27" t="n">
        <v>0</v>
      </c>
      <c r="H7" s="27" t="n">
        <v>0</v>
      </c>
      <c r="I7" s="27" t="n">
        <v>4</v>
      </c>
      <c r="J7" s="27" t="n">
        <v>3.5</v>
      </c>
      <c r="K7" s="27" t="inlineStr"/>
    </row>
    <row r="8">
      <c r="A8" s="29" t="inlineStr">
        <is>
          <t>REG-06</t>
        </is>
      </c>
      <c r="B8" s="29" t="inlineStr">
        <is>
          <t>Electron Desktop Overlay</t>
        </is>
      </c>
      <c r="C8" s="29" t="inlineStr">
        <is>
          <t>Boot + hotkeys</t>
        </is>
      </c>
      <c r="D8" s="29" t="inlineStr">
        <is>
          <t>Shreya Patil</t>
        </is>
      </c>
      <c r="E8" s="29" t="inlineStr">
        <is>
          <t>Partial</t>
        </is>
      </c>
      <c r="F8" s="29" t="n">
        <v>2</v>
      </c>
      <c r="G8" s="29" t="n">
        <v>0</v>
      </c>
      <c r="H8" s="29" t="n">
        <v>1</v>
      </c>
      <c r="I8" s="29" t="n">
        <v>3</v>
      </c>
      <c r="J8" s="29" t="n">
        <v>1.5</v>
      </c>
      <c r="K8" s="29" t="inlineStr">
        <is>
          <t>Unsigned</t>
        </is>
      </c>
    </row>
    <row r="9">
      <c r="A9" s="27" t="inlineStr">
        <is>
          <t>TOTAL</t>
        </is>
      </c>
      <c r="B9" s="27" t="n"/>
      <c r="C9" s="27" t="n"/>
      <c r="D9" s="27" t="n"/>
      <c r="E9" s="27" t="n"/>
      <c r="F9" s="36">
        <f>SUM(F3:F8)</f>
        <v/>
      </c>
      <c r="G9" s="36">
        <f>SUM(G3:G8)</f>
        <v/>
      </c>
      <c r="H9" s="36">
        <f>SUM(H3:H8)</f>
        <v/>
      </c>
      <c r="I9" s="36">
        <f>SUM(I3:I8)</f>
        <v/>
      </c>
      <c r="J9" s="36">
        <f>SUM(J3:J8)</f>
        <v/>
      </c>
      <c r="K9" s="27" t="n"/>
    </row>
  </sheetData>
  <autoFilter ref="A2:K9"/>
  <mergeCells count="1">
    <mergeCell ref="A1:H1"/>
  </mergeCells>
  <dataValidations count="3">
    <dataValidation sqref="B3:B5000" showDropDown="0" showInputMessage="0" showErrorMessage="0" allowBlank="1" errorTitle="Invalid" error="Pick a value from the list" type="list">
      <formula1>Lists!$Z$2:$Z$23</formula1>
    </dataValidation>
    <dataValidation sqref="D3:D5000" showDropDown="0" showInputMessage="0" showErrorMessage="0" allowBlank="1" errorTitle="Invalid" error="Pick a value from the list" type="list">
      <formula1>Lists!$AC$2:$AC$3</formula1>
    </dataValidation>
    <dataValidation sqref="E3:E5000" showDropDown="0" showInputMessage="0" showErrorMessage="0" allowBlank="1" errorTitle="Invalid" error="Pick a value from the list" type="list">
      <formula1>Lists!$I$2:$I$5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8" customWidth="1" min="2" max="2"/>
    <col width="14" customWidth="1" min="3" max="3"/>
    <col width="16" customWidth="1" min="4" max="4"/>
    <col width="17" customWidth="1" min="5" max="5"/>
    <col width="20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5" customWidth="1" min="15" max="15"/>
    <col width="36" customWidth="1" min="16" max="16"/>
    <col width="12" customWidth="1" min="17" max="17"/>
    <col width="33" customWidth="1" min="18" max="18"/>
    <col width="36" customWidth="1" min="19" max="19"/>
    <col width="12" customWidth="1" min="20" max="20"/>
  </cols>
  <sheetData>
    <row r="1">
      <c r="A1" s="1" t="inlineStr">
        <is>
          <t>Production Readiness Checklist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Module</t>
        </is>
      </c>
      <c r="B2" s="26" t="inlineStr">
        <is>
          <t>Feature Complete</t>
        </is>
      </c>
      <c r="C2" s="26" t="inlineStr">
        <is>
          <t>API Complete</t>
        </is>
      </c>
      <c r="D2" s="26" t="inlineStr">
        <is>
          <t>Database Ready</t>
        </is>
      </c>
      <c r="E2" s="26" t="inlineStr">
        <is>
          <t>Security Passed</t>
        </is>
      </c>
      <c r="F2" s="26" t="inlineStr">
        <is>
          <t>Performance Passed</t>
        </is>
      </c>
      <c r="G2" s="26" t="inlineStr">
        <is>
          <t>Responsive</t>
        </is>
      </c>
      <c r="H2" s="26" t="inlineStr">
        <is>
          <t>Accessibility</t>
        </is>
      </c>
      <c r="I2" s="26" t="inlineStr">
        <is>
          <t>SEO</t>
        </is>
      </c>
      <c r="J2" s="26" t="inlineStr">
        <is>
          <t>Monitoring</t>
        </is>
      </c>
      <c r="K2" s="26" t="inlineStr">
        <is>
          <t>Logging</t>
        </is>
      </c>
      <c r="L2" s="26" t="inlineStr">
        <is>
          <t>Deployment Ready</t>
        </is>
      </c>
      <c r="M2" s="26" t="inlineStr">
        <is>
          <t>Backup</t>
        </is>
      </c>
      <c r="N2" s="26" t="inlineStr">
        <is>
          <t>Recovery</t>
        </is>
      </c>
      <c r="O2" s="26" t="inlineStr">
        <is>
          <t>Documentation</t>
        </is>
      </c>
      <c r="P2" s="26" t="inlineStr">
        <is>
          <t>Ready Count</t>
        </is>
      </c>
      <c r="Q2" s="26" t="inlineStr">
        <is>
          <t>Total</t>
        </is>
      </c>
      <c r="R2" s="26" t="inlineStr">
        <is>
          <t>Readiness %</t>
        </is>
      </c>
      <c r="S2" s="26" t="inlineStr">
        <is>
          <t>Status</t>
        </is>
      </c>
      <c r="T2" s="26" t="inlineStr">
        <is>
          <t>Remarks</t>
        </is>
      </c>
    </row>
    <row r="3">
      <c r="A3" s="27" t="inlineStr">
        <is>
          <t>Auth &amp; Onboarding</t>
        </is>
      </c>
      <c r="B3" s="27" t="inlineStr">
        <is>
          <t>Yes</t>
        </is>
      </c>
      <c r="C3" s="27" t="inlineStr">
        <is>
          <t>Yes</t>
        </is>
      </c>
      <c r="D3" s="27" t="inlineStr">
        <is>
          <t>Yes</t>
        </is>
      </c>
      <c r="E3" s="27" t="inlineStr">
        <is>
          <t>Yes</t>
        </is>
      </c>
      <c r="F3" s="27" t="inlineStr">
        <is>
          <t>Yes</t>
        </is>
      </c>
      <c r="G3" s="27" t="inlineStr">
        <is>
          <t>Yes</t>
        </is>
      </c>
      <c r="H3" s="27" t="inlineStr">
        <is>
          <t>Yes</t>
        </is>
      </c>
      <c r="I3" s="27" t="inlineStr">
        <is>
          <t>Partial</t>
        </is>
      </c>
      <c r="J3" s="27" t="inlineStr">
        <is>
          <t>Yes</t>
        </is>
      </c>
      <c r="K3" s="27" t="inlineStr">
        <is>
          <t>Yes</t>
        </is>
      </c>
      <c r="L3" s="27" t="inlineStr">
        <is>
          <t>Yes</t>
        </is>
      </c>
      <c r="M3" s="27" t="inlineStr">
        <is>
          <t>Yes</t>
        </is>
      </c>
      <c r="N3" s="27" t="inlineStr">
        <is>
          <t>Yes</t>
        </is>
      </c>
      <c r="O3" s="27" t="inlineStr">
        <is>
          <t>Yes</t>
        </is>
      </c>
      <c r="P3" s="27">
        <f>IFERROR(COUNTIF(B3:O3,"Yes"),0)</f>
        <v/>
      </c>
      <c r="Q3" s="27" t="n">
        <v>14</v>
      </c>
      <c r="R3" s="32">
        <f>IFERROR(IF(Q3=0,0,P3/Q3),0)</f>
        <v/>
      </c>
      <c r="S3" s="27">
        <f>IFERROR(IF(R3&gt;=0.9,"Ready",IF(R3&gt;=0.7,"Conditional","Not Ready")),"Not Ready")</f>
        <v/>
      </c>
      <c r="T3" s="27" t="inlineStr"/>
    </row>
    <row r="4">
      <c r="A4" s="29" t="inlineStr">
        <is>
          <t>Live Practice Coach</t>
        </is>
      </c>
      <c r="B4" s="29" t="inlineStr">
        <is>
          <t>Yes</t>
        </is>
      </c>
      <c r="C4" s="29" t="inlineStr">
        <is>
          <t>Yes</t>
        </is>
      </c>
      <c r="D4" s="29" t="inlineStr">
        <is>
          <t>Yes</t>
        </is>
      </c>
      <c r="E4" s="29" t="inlineStr">
        <is>
          <t>Yes</t>
        </is>
      </c>
      <c r="F4" s="29" t="inlineStr">
        <is>
          <t>Yes</t>
        </is>
      </c>
      <c r="G4" s="29" t="inlineStr">
        <is>
          <t>Partial</t>
        </is>
      </c>
      <c r="H4" s="29" t="inlineStr">
        <is>
          <t>Partial</t>
        </is>
      </c>
      <c r="I4" s="29" t="inlineStr">
        <is>
          <t>N/A</t>
        </is>
      </c>
      <c r="J4" s="29" t="inlineStr">
        <is>
          <t>Yes</t>
        </is>
      </c>
      <c r="K4" s="29" t="inlineStr">
        <is>
          <t>Yes</t>
        </is>
      </c>
      <c r="L4" s="29" t="inlineStr">
        <is>
          <t>Yes</t>
        </is>
      </c>
      <c r="M4" s="29" t="inlineStr">
        <is>
          <t>Yes</t>
        </is>
      </c>
      <c r="N4" s="29" t="inlineStr">
        <is>
          <t>Partial</t>
        </is>
      </c>
      <c r="O4" s="29" t="inlineStr">
        <is>
          <t>Yes</t>
        </is>
      </c>
      <c r="P4" s="29">
        <f>IFERROR(COUNTIF(B4:O4,"Yes"),0)</f>
        <v/>
      </c>
      <c r="Q4" s="29" t="n">
        <v>14</v>
      </c>
      <c r="R4" s="33">
        <f>IFERROR(IF(Q4=0,0,P4/Q4),0)</f>
        <v/>
      </c>
      <c r="S4" s="29">
        <f>IFERROR(IF(R4&gt;=0.9,"Ready",IF(R4&gt;=0.7,"Conditional","Not Ready")),"Not Ready")</f>
        <v/>
      </c>
      <c r="T4" s="29" t="inlineStr"/>
    </row>
    <row r="5">
      <c r="A5" s="27" t="inlineStr">
        <is>
          <t>Billing &amp; Credits</t>
        </is>
      </c>
      <c r="B5" s="27" t="inlineStr">
        <is>
          <t>Yes</t>
        </is>
      </c>
      <c r="C5" s="27" t="inlineStr">
        <is>
          <t>Yes</t>
        </is>
      </c>
      <c r="D5" s="27" t="inlineStr">
        <is>
          <t>Yes</t>
        </is>
      </c>
      <c r="E5" s="27" t="inlineStr">
        <is>
          <t>Yes</t>
        </is>
      </c>
      <c r="F5" s="27" t="inlineStr">
        <is>
          <t>Yes</t>
        </is>
      </c>
      <c r="G5" s="27" t="inlineStr">
        <is>
          <t>Yes</t>
        </is>
      </c>
      <c r="H5" s="27" t="inlineStr">
        <is>
          <t>Partial</t>
        </is>
      </c>
      <c r="I5" s="27" t="inlineStr">
        <is>
          <t>N/A</t>
        </is>
      </c>
      <c r="J5" s="27" t="inlineStr">
        <is>
          <t>Partial</t>
        </is>
      </c>
      <c r="K5" s="27" t="inlineStr">
        <is>
          <t>Yes</t>
        </is>
      </c>
      <c r="L5" s="27" t="inlineStr">
        <is>
          <t>Yes</t>
        </is>
      </c>
      <c r="M5" s="27" t="inlineStr">
        <is>
          <t>Yes</t>
        </is>
      </c>
      <c r="N5" s="27" t="inlineStr">
        <is>
          <t>Partial</t>
        </is>
      </c>
      <c r="O5" s="27" t="inlineStr">
        <is>
          <t>Yes</t>
        </is>
      </c>
      <c r="P5" s="27">
        <f>IFERROR(COUNTIF(B5:O5,"Yes"),0)</f>
        <v/>
      </c>
      <c r="Q5" s="27" t="n">
        <v>14</v>
      </c>
      <c r="R5" s="32">
        <f>IFERROR(IF(Q5=0,0,P5/Q5),0)</f>
        <v/>
      </c>
      <c r="S5" s="27">
        <f>IFERROR(IF(R5&gt;=0.9,"Ready",IF(R5&gt;=0.7,"Conditional","Not Ready")),"Not Ready")</f>
        <v/>
      </c>
      <c r="T5" s="27" t="inlineStr"/>
    </row>
    <row r="6">
      <c r="A6" s="29" t="inlineStr">
        <is>
          <t>Gov Exam Mock Tests</t>
        </is>
      </c>
      <c r="B6" s="29" t="inlineStr">
        <is>
          <t>Partial</t>
        </is>
      </c>
      <c r="C6" s="29" t="inlineStr">
        <is>
          <t>Yes</t>
        </is>
      </c>
      <c r="D6" s="29" t="inlineStr">
        <is>
          <t>Partial</t>
        </is>
      </c>
      <c r="E6" s="29" t="inlineStr">
        <is>
          <t>Yes</t>
        </is>
      </c>
      <c r="F6" s="29" t="inlineStr">
        <is>
          <t>Yes</t>
        </is>
      </c>
      <c r="G6" s="29" t="inlineStr">
        <is>
          <t>Yes</t>
        </is>
      </c>
      <c r="H6" s="29" t="inlineStr">
        <is>
          <t>Partial</t>
        </is>
      </c>
      <c r="I6" s="29" t="inlineStr">
        <is>
          <t>Partial</t>
        </is>
      </c>
      <c r="J6" s="29" t="inlineStr">
        <is>
          <t>Partial</t>
        </is>
      </c>
      <c r="K6" s="29" t="inlineStr">
        <is>
          <t>Yes</t>
        </is>
      </c>
      <c r="L6" s="29" t="inlineStr">
        <is>
          <t>Partial</t>
        </is>
      </c>
      <c r="M6" s="29" t="inlineStr">
        <is>
          <t>Yes</t>
        </is>
      </c>
      <c r="N6" s="29" t="inlineStr">
        <is>
          <t>Partial</t>
        </is>
      </c>
      <c r="O6" s="29" t="inlineStr">
        <is>
          <t>Partial</t>
        </is>
      </c>
      <c r="P6" s="29">
        <f>IFERROR(COUNTIF(B6:O6,"Yes"),0)</f>
        <v/>
      </c>
      <c r="Q6" s="29" t="n">
        <v>14</v>
      </c>
      <c r="R6" s="33">
        <f>IFERROR(IF(Q6=0,0,P6/Q6),0)</f>
        <v/>
      </c>
      <c r="S6" s="29">
        <f>IFERROR(IF(R6&gt;=0.9,"Ready",IF(R6&gt;=0.7,"Conditional","Not Ready")),"Not Ready")</f>
        <v/>
      </c>
      <c r="T6" s="29" t="inlineStr"/>
    </row>
    <row r="7">
      <c r="A7" s="27" t="inlineStr">
        <is>
          <t>Admin Portal</t>
        </is>
      </c>
      <c r="B7" s="27" t="inlineStr">
        <is>
          <t>Partial</t>
        </is>
      </c>
      <c r="C7" s="27" t="inlineStr">
        <is>
          <t>Yes</t>
        </is>
      </c>
      <c r="D7" s="27" t="inlineStr">
        <is>
          <t>Yes</t>
        </is>
      </c>
      <c r="E7" s="27" t="inlineStr">
        <is>
          <t>Yes</t>
        </is>
      </c>
      <c r="F7" s="27" t="inlineStr">
        <is>
          <t>Partial</t>
        </is>
      </c>
      <c r="G7" s="27" t="inlineStr">
        <is>
          <t>Partial</t>
        </is>
      </c>
      <c r="H7" s="27" t="inlineStr">
        <is>
          <t>Partial</t>
        </is>
      </c>
      <c r="I7" s="27" t="inlineStr">
        <is>
          <t>N/A</t>
        </is>
      </c>
      <c r="J7" s="27" t="inlineStr">
        <is>
          <t>Partial</t>
        </is>
      </c>
      <c r="K7" s="27" t="inlineStr">
        <is>
          <t>Yes</t>
        </is>
      </c>
      <c r="L7" s="27" t="inlineStr">
        <is>
          <t>Yes</t>
        </is>
      </c>
      <c r="M7" s="27" t="inlineStr">
        <is>
          <t>Yes</t>
        </is>
      </c>
      <c r="N7" s="27" t="inlineStr">
        <is>
          <t>Partial</t>
        </is>
      </c>
      <c r="O7" s="27" t="inlineStr">
        <is>
          <t>Partial</t>
        </is>
      </c>
      <c r="P7" s="27">
        <f>IFERROR(COUNTIF(B7:O7,"Yes"),0)</f>
        <v/>
      </c>
      <c r="Q7" s="27" t="n">
        <v>14</v>
      </c>
      <c r="R7" s="32">
        <f>IFERROR(IF(Q7=0,0,P7/Q7),0)</f>
        <v/>
      </c>
      <c r="S7" s="27">
        <f>IFERROR(IF(R7&gt;=0.9,"Ready",IF(R7&gt;=0.7,"Conditional","Not Ready")),"Not Ready")</f>
        <v/>
      </c>
      <c r="T7" s="27" t="inlineStr"/>
    </row>
    <row r="8">
      <c r="A8" s="29" t="inlineStr">
        <is>
          <t>Electron Desktop Overlay</t>
        </is>
      </c>
      <c r="B8" s="29" t="inlineStr">
        <is>
          <t>Partial</t>
        </is>
      </c>
      <c r="C8" s="29" t="inlineStr">
        <is>
          <t>N/A</t>
        </is>
      </c>
      <c r="D8" s="29" t="inlineStr">
        <is>
          <t>N/A</t>
        </is>
      </c>
      <c r="E8" s="29" t="inlineStr">
        <is>
          <t>Partial</t>
        </is>
      </c>
      <c r="F8" s="29" t="inlineStr">
        <is>
          <t>Yes</t>
        </is>
      </c>
      <c r="G8" s="29" t="inlineStr">
        <is>
          <t>N/A</t>
        </is>
      </c>
      <c r="H8" s="29" t="inlineStr">
        <is>
          <t>Partial</t>
        </is>
      </c>
      <c r="I8" s="29" t="inlineStr">
        <is>
          <t>N/A</t>
        </is>
      </c>
      <c r="J8" s="29" t="inlineStr">
        <is>
          <t>Partial</t>
        </is>
      </c>
      <c r="K8" s="29" t="inlineStr">
        <is>
          <t>Partial</t>
        </is>
      </c>
      <c r="L8" s="29" t="inlineStr">
        <is>
          <t>Partial</t>
        </is>
      </c>
      <c r="M8" s="29" t="inlineStr">
        <is>
          <t>Yes</t>
        </is>
      </c>
      <c r="N8" s="29" t="inlineStr">
        <is>
          <t>Partial</t>
        </is>
      </c>
      <c r="O8" s="29" t="inlineStr">
        <is>
          <t>Partial</t>
        </is>
      </c>
      <c r="P8" s="29">
        <f>IFERROR(COUNTIF(B8:O8,"Yes"),0)</f>
        <v/>
      </c>
      <c r="Q8" s="29" t="n">
        <v>14</v>
      </c>
      <c r="R8" s="33">
        <f>IFERROR(IF(Q8=0,0,P8/Q8),0)</f>
        <v/>
      </c>
      <c r="S8" s="29">
        <f>IFERROR(IF(R8&gt;=0.9,"Ready",IF(R8&gt;=0.7,"Conditional","Not Ready")),"Not Ready")</f>
        <v/>
      </c>
      <c r="T8" s="29" t="inlineStr"/>
    </row>
    <row r="9">
      <c r="A9" s="27" t="inlineStr">
        <is>
          <t>Marketing Site</t>
        </is>
      </c>
      <c r="B9" s="27" t="inlineStr">
        <is>
          <t>Yes</t>
        </is>
      </c>
      <c r="C9" s="27" t="inlineStr">
        <is>
          <t>N/A</t>
        </is>
      </c>
      <c r="D9" s="27" t="inlineStr">
        <is>
          <t>Yes</t>
        </is>
      </c>
      <c r="E9" s="27" t="inlineStr">
        <is>
          <t>Yes</t>
        </is>
      </c>
      <c r="F9" s="27" t="inlineStr">
        <is>
          <t>Yes</t>
        </is>
      </c>
      <c r="G9" s="27" t="inlineStr">
        <is>
          <t>Yes</t>
        </is>
      </c>
      <c r="H9" s="27" t="inlineStr">
        <is>
          <t>Partial</t>
        </is>
      </c>
      <c r="I9" s="27" t="inlineStr">
        <is>
          <t>Yes</t>
        </is>
      </c>
      <c r="J9" s="27" t="inlineStr">
        <is>
          <t>Yes</t>
        </is>
      </c>
      <c r="K9" s="27" t="inlineStr">
        <is>
          <t>Yes</t>
        </is>
      </c>
      <c r="L9" s="27" t="inlineStr">
        <is>
          <t>Yes</t>
        </is>
      </c>
      <c r="M9" s="27" t="inlineStr">
        <is>
          <t>Yes</t>
        </is>
      </c>
      <c r="N9" s="27" t="inlineStr">
        <is>
          <t>Yes</t>
        </is>
      </c>
      <c r="O9" s="27" t="inlineStr">
        <is>
          <t>Yes</t>
        </is>
      </c>
      <c r="P9" s="27">
        <f>IFERROR(COUNTIF(B9:O9,"Yes"),0)</f>
        <v/>
      </c>
      <c r="Q9" s="27" t="n">
        <v>14</v>
      </c>
      <c r="R9" s="32">
        <f>IFERROR(IF(Q9=0,0,P9/Q9),0)</f>
        <v/>
      </c>
      <c r="S9" s="27">
        <f>IFERROR(IF(R9&gt;=0.9,"Ready",IF(R9&gt;=0.7,"Conditional","Not Ready")),"Not Ready")</f>
        <v/>
      </c>
      <c r="T9" s="27" t="inlineStr"/>
    </row>
    <row r="10">
      <c r="A10" s="29" t="inlineStr">
        <is>
          <t>Security &amp; Platform</t>
        </is>
      </c>
      <c r="B10" s="29" t="inlineStr">
        <is>
          <t>Partial</t>
        </is>
      </c>
      <c r="C10" s="29" t="inlineStr">
        <is>
          <t>Yes</t>
        </is>
      </c>
      <c r="D10" s="29" t="inlineStr">
        <is>
          <t>Partial</t>
        </is>
      </c>
      <c r="E10" s="29" t="inlineStr">
        <is>
          <t>Partial</t>
        </is>
      </c>
      <c r="F10" s="29" t="inlineStr">
        <is>
          <t>Yes</t>
        </is>
      </c>
      <c r="G10" s="29" t="inlineStr">
        <is>
          <t>N/A</t>
        </is>
      </c>
      <c r="H10" s="29" t="inlineStr">
        <is>
          <t>N/A</t>
        </is>
      </c>
      <c r="I10" s="29" t="inlineStr">
        <is>
          <t>N/A</t>
        </is>
      </c>
      <c r="J10" s="29" t="inlineStr">
        <is>
          <t>Partial</t>
        </is>
      </c>
      <c r="K10" s="29" t="inlineStr">
        <is>
          <t>Yes</t>
        </is>
      </c>
      <c r="L10" s="29" t="inlineStr">
        <is>
          <t>Yes</t>
        </is>
      </c>
      <c r="M10" s="29" t="inlineStr">
        <is>
          <t>Yes</t>
        </is>
      </c>
      <c r="N10" s="29" t="inlineStr">
        <is>
          <t>Partial</t>
        </is>
      </c>
      <c r="O10" s="29" t="inlineStr">
        <is>
          <t>Yes</t>
        </is>
      </c>
      <c r="P10" s="29">
        <f>IFERROR(COUNTIF(B10:O10,"Yes"),0)</f>
        <v/>
      </c>
      <c r="Q10" s="29" t="n">
        <v>14</v>
      </c>
      <c r="R10" s="33">
        <f>IFERROR(IF(Q10=0,0,P10/Q10),0)</f>
        <v/>
      </c>
      <c r="S10" s="29">
        <f>IFERROR(IF(R10&gt;=0.9,"Ready",IF(R10&gt;=0.7,"Conditional","Not Ready")),"Not Ready")</f>
        <v/>
      </c>
      <c r="T10" s="29" t="inlineStr"/>
    </row>
  </sheetData>
  <autoFilter ref="A2:T10"/>
  <mergeCells count="1">
    <mergeCell ref="A1:H1"/>
  </mergeCells>
  <dataValidations count="16">
    <dataValidation sqref="B3:B5000" showDropDown="0" showInputMessage="0" showErrorMessage="0" allowBlank="1" errorTitle="Invalid" error="Pick a value from the list" type="list">
      <formula1>Lists!$I$2:$I$5</formula1>
    </dataValidation>
    <dataValidation sqref="C3:C5000" showDropDown="0" showInputMessage="0" showErrorMessage="0" allowBlank="1" errorTitle="Invalid" error="Pick a value from the list" type="list">
      <formula1>Lists!$I$2:$I$5</formula1>
    </dataValidation>
    <dataValidation sqref="D3:D5000" showDropDown="0" showInputMessage="0" showErrorMessage="0" allowBlank="1" errorTitle="Invalid" error="Pick a value from the list" type="list">
      <formula1>Lists!$I$2:$I$5</formula1>
    </dataValidation>
    <dataValidation sqref="E3:E5000" showDropDown="0" showInputMessage="0" showErrorMessage="0" allowBlank="1" errorTitle="Invalid" error="Pick a value from the list" type="list">
      <formula1>Lists!$I$2:$I$5</formula1>
    </dataValidation>
    <dataValidation sqref="F3:F5000" showDropDown="0" showInputMessage="0" showErrorMessage="0" allowBlank="1" errorTitle="Invalid" error="Pick a value from the list" type="list">
      <formula1>Lists!$I$2:$I$5</formula1>
    </dataValidation>
    <dataValidation sqref="G3:G5000" showDropDown="0" showInputMessage="0" showErrorMessage="0" allowBlank="1" errorTitle="Invalid" error="Pick a value from the list" type="list">
      <formula1>Lists!$I$2:$I$5</formula1>
    </dataValidation>
    <dataValidation sqref="H3:H5000" showDropDown="0" showInputMessage="0" showErrorMessage="0" allowBlank="1" errorTitle="Invalid" error="Pick a value from the list" type="list">
      <formula1>Lists!$I$2:$I$5</formula1>
    </dataValidation>
    <dataValidation sqref="I3:I5000" showDropDown="0" showInputMessage="0" showErrorMessage="0" allowBlank="1" errorTitle="Invalid" error="Pick a value from the list" type="list">
      <formula1>Lists!$I$2:$I$5</formula1>
    </dataValidation>
    <dataValidation sqref="J3:J5000" showDropDown="0" showInputMessage="0" showErrorMessage="0" allowBlank="1" errorTitle="Invalid" error="Pick a value from the list" type="list">
      <formula1>Lists!$I$2:$I$5</formula1>
    </dataValidation>
    <dataValidation sqref="K3:K5000" showDropDown="0" showInputMessage="0" showErrorMessage="0" allowBlank="1" errorTitle="Invalid" error="Pick a value from the list" type="list">
      <formula1>Lists!$I$2:$I$5</formula1>
    </dataValidation>
    <dataValidation sqref="L3:L5000" showDropDown="0" showInputMessage="0" showErrorMessage="0" allowBlank="1" errorTitle="Invalid" error="Pick a value from the list" type="list">
      <formula1>Lists!$I$2:$I$5</formula1>
    </dataValidation>
    <dataValidation sqref="M3:M5000" showDropDown="0" showInputMessage="0" showErrorMessage="0" allowBlank="1" errorTitle="Invalid" error="Pick a value from the list" type="list">
      <formula1>Lists!$I$2:$I$5</formula1>
    </dataValidation>
    <dataValidation sqref="N3:N5000" showDropDown="0" showInputMessage="0" showErrorMessage="0" allowBlank="1" errorTitle="Invalid" error="Pick a value from the list" type="list">
      <formula1>Lists!$I$2:$I$5</formula1>
    </dataValidation>
    <dataValidation sqref="O3:O5000" showDropDown="0" showInputMessage="0" showErrorMessage="0" allowBlank="1" errorTitle="Invalid" error="Pick a value from the list" type="list">
      <formula1>Lists!$I$2:$I$5</formula1>
    </dataValidation>
    <dataValidation sqref="A3:A5000" showDropDown="0" showInputMessage="0" showErrorMessage="0" allowBlank="1" errorTitle="Invalid" error="Pick a value from the list" type="list">
      <formula1>Lists!$Z$2:$Z$23</formula1>
    </dataValidation>
    <dataValidation sqref="S3:S5000" showDropDown="0" showInputMessage="0" showErrorMessage="0" allowBlank="1" errorTitle="Invalid" error="Pick a value from the list" type="list">
      <formula1>Lists!$P$2:$P$5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2" customWidth="1" min="2" max="2"/>
    <col width="13" customWidth="1" min="3" max="3"/>
    <col width="14" customWidth="1" min="4" max="4"/>
    <col width="16" customWidth="1" min="5" max="5"/>
    <col width="15" customWidth="1" min="6" max="6"/>
    <col width="12" customWidth="1" min="7" max="7"/>
    <col width="36" customWidth="1" min="8" max="8"/>
    <col width="36" customWidth="1" min="9" max="9"/>
    <col width="12" customWidth="1" min="10" max="10"/>
    <col width="21" customWidth="1" min="11" max="11"/>
    <col width="16" customWidth="1" min="12" max="12"/>
    <col width="36" customWidth="1" min="13" max="13"/>
  </cols>
  <sheetData>
    <row r="1">
      <c r="A1" s="1" t="inlineStr">
        <is>
          <t>Release Sign-Off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11" t="inlineStr">
        <is>
          <t>● Sign-Off</t>
        </is>
      </c>
    </row>
    <row r="2">
      <c r="A2" s="26" t="inlineStr">
        <is>
          <t>Release Version</t>
        </is>
      </c>
      <c r="B2" s="26" t="inlineStr">
        <is>
          <t>Build</t>
        </is>
      </c>
      <c r="C2" s="26" t="inlineStr">
        <is>
          <t>Environment</t>
        </is>
      </c>
      <c r="D2" s="26" t="inlineStr">
        <is>
          <t>QA Lead</t>
        </is>
      </c>
      <c r="E2" s="26" t="inlineStr">
        <is>
          <t>Developer Lead</t>
        </is>
      </c>
      <c r="F2" s="26" t="inlineStr">
        <is>
          <t>Product Owner</t>
        </is>
      </c>
      <c r="G2" s="26" t="inlineStr">
        <is>
          <t>Passed</t>
        </is>
      </c>
      <c r="H2" s="26" t="inlineStr">
        <is>
          <t>Known Issues</t>
        </is>
      </c>
      <c r="I2" s="26" t="inlineStr">
        <is>
          <t>Blockers</t>
        </is>
      </c>
      <c r="J2" s="26" t="inlineStr">
        <is>
          <t>Risk Level</t>
        </is>
      </c>
      <c r="K2" s="26" t="inlineStr">
        <is>
          <t>Deployment Approval</t>
        </is>
      </c>
      <c r="L2" s="26" t="inlineStr">
        <is>
          <t>Go/No-Go</t>
        </is>
      </c>
      <c r="M2" s="26" t="inlineStr">
        <is>
          <t>Remarks</t>
        </is>
      </c>
    </row>
    <row r="3">
      <c r="A3" s="27" t="inlineStr">
        <is>
          <t>1.0.0-beta</t>
        </is>
      </c>
      <c r="B3" s="27" t="inlineStr">
        <is>
          <t>1.0.0</t>
        </is>
      </c>
      <c r="C3" s="27" t="inlineStr">
        <is>
          <t>Staging</t>
        </is>
      </c>
      <c r="D3" s="27" t="inlineStr">
        <is>
          <t>Shreya Patil</t>
        </is>
      </c>
      <c r="E3" s="27" t="inlineStr">
        <is>
          <t>Dev Lead</t>
        </is>
      </c>
      <c r="F3" s="27" t="inlineStr">
        <is>
          <t>Product</t>
        </is>
      </c>
      <c r="G3" s="27" t="inlineStr">
        <is>
          <t>Yes</t>
        </is>
      </c>
      <c r="H3" s="27" t="inlineStr">
        <is>
          <t>BUG-OPEN-01 Razorpay one-time; unsigned Electron if no cert</t>
        </is>
      </c>
      <c r="I3" s="27" t="inlineStr">
        <is>
          <t>Calendar/Resend/signing secrets if promising those features</t>
        </is>
      </c>
      <c r="J3" s="27" t="inlineStr">
        <is>
          <t>Medium</t>
        </is>
      </c>
      <c r="K3" s="27" t="inlineStr">
        <is>
          <t>Pending</t>
        </is>
      </c>
      <c r="L3" s="27" t="inlineStr">
        <is>
          <t>Conditional Go</t>
        </is>
      </c>
      <c r="M3" s="27" t="inlineStr">
        <is>
          <t>Launch-pass code + expanded MCQ seeds; apply migration; ops secrets still Blocked</t>
        </is>
      </c>
    </row>
    <row r="4">
      <c r="A4" s="29" t="inlineStr">
        <is>
          <t>1.0.0</t>
        </is>
      </c>
      <c r="B4" s="29" t="inlineStr">
        <is>
          <t>1.0.0</t>
        </is>
      </c>
      <c r="C4" s="29" t="inlineStr">
        <is>
          <t>Production</t>
        </is>
      </c>
      <c r="D4" s="29" t="inlineStr">
        <is>
          <t>Shreya Patil</t>
        </is>
      </c>
      <c r="E4" s="29" t="inlineStr">
        <is>
          <t>Dev Lead</t>
        </is>
      </c>
      <c r="F4" s="29" t="inlineStr">
        <is>
          <t>Product</t>
        </is>
      </c>
      <c r="G4" s="29" t="inlineStr">
        <is>
          <t>No</t>
        </is>
      </c>
      <c r="H4" s="29" t="inlineStr">
        <is>
          <t>See CHANGELOG Launch gap matrix</t>
        </is>
      </c>
      <c r="I4" s="29" t="inlineStr">
        <is>
          <t>Code signing; anon key rotation; Calendar/Resend if promised</t>
        </is>
      </c>
      <c r="J4" s="29" t="inlineStr">
        <is>
          <t>High</t>
        </is>
      </c>
      <c r="K4" s="29" t="inlineStr">
        <is>
          <t>Pending</t>
        </is>
      </c>
      <c r="L4" s="29" t="inlineStr">
        <is>
          <t>No-Go</t>
        </is>
      </c>
      <c r="M4" s="29" t="inlineStr">
        <is>
          <t>Await cert + ops secrets</t>
        </is>
      </c>
    </row>
    <row r="5">
      <c r="A5" s="27" t="inlineStr">
        <is>
          <t>1.0.1</t>
        </is>
      </c>
      <c r="B5" s="27" t="inlineStr">
        <is>
          <t>TBD</t>
        </is>
      </c>
      <c r="C5" s="27" t="inlineStr">
        <is>
          <t>Staging</t>
        </is>
      </c>
      <c r="D5" s="27" t="inlineStr">
        <is>
          <t>Shreya Patil</t>
        </is>
      </c>
      <c r="E5" s="27" t="inlineStr">
        <is>
          <t>Dev Lead</t>
        </is>
      </c>
      <c r="F5" s="27" t="inlineStr">
        <is>
          <t>Product</t>
        </is>
      </c>
      <c r="G5" s="27" t="inlineStr">
        <is>
          <t>No</t>
        </is>
      </c>
      <c r="H5" s="27" t="inlineStr"/>
      <c r="I5" s="27" t="inlineStr"/>
      <c r="J5" s="27" t="inlineStr">
        <is>
          <t>Low</t>
        </is>
      </c>
      <c r="K5" s="27" t="inlineStr">
        <is>
          <t>Deferred</t>
        </is>
      </c>
      <c r="L5" s="27" t="inlineStr">
        <is>
          <t>No-Go</t>
        </is>
      </c>
      <c r="M5" s="27" t="inlineStr">
        <is>
          <t>Placeholder</t>
        </is>
      </c>
    </row>
  </sheetData>
  <autoFilter ref="A2:M5"/>
  <mergeCells count="1">
    <mergeCell ref="A1:H1"/>
  </mergeCells>
  <conditionalFormatting sqref="J3:J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6">
    <dataValidation sqref="A3:A5000" showDropDown="0" showInputMessage="0" showErrorMessage="0" allowBlank="1" errorTitle="Invalid" error="Pick a value from the list" type="list">
      <formula1>Lists!$X$2:$X$5</formula1>
    </dataValidation>
    <dataValidation sqref="C3:C5000" showDropDown="0" showInputMessage="0" showErrorMessage="0" allowBlank="1" errorTitle="Invalid" error="Pick a value from the list" type="list">
      <formula1>Lists!$E$2:$E$7</formula1>
    </dataValidation>
    <dataValidation sqref="G3:G5000" showDropDown="0" showInputMessage="0" showErrorMessage="0" allowBlank="1" errorTitle="Invalid" error="Pick a value from the list" type="list">
      <formula1>Lists!$I$2:$I$5</formula1>
    </dataValidation>
    <dataValidation sqref="J3:J5000" showDropDown="0" showInputMessage="0" showErrorMessage="0" allowBlank="1" errorTitle="Invalid" error="Pick a value from the list" type="list">
      <formula1>Lists!$L$2:$L$5</formula1>
    </dataValidation>
    <dataValidation sqref="K3:K5000" showDropDown="0" showInputMessage="0" showErrorMessage="0" allowBlank="1" errorTitle="Invalid" error="Pick a value from the list" type="list">
      <formula1>Lists!$R$2:$R$5</formula1>
    </dataValidation>
    <dataValidation sqref="L3:L5000" showDropDown="0" showInputMessage="0" showErrorMessage="0" allowBlank="1" errorTitle="Invalid" error="Pick a value from the list" type="list">
      <formula1>Lists!$Q$2:$Q$4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6" customWidth="1" min="2" max="2"/>
    <col width="35" customWidth="1" min="3" max="3"/>
    <col width="12" customWidth="1" min="4" max="4"/>
    <col width="14" customWidth="1" min="5" max="5"/>
    <col width="36" customWidth="1" min="6" max="6"/>
    <col width="14" customWidth="1" min="7" max="7"/>
    <col width="14" customWidth="1" min="8" max="8"/>
  </cols>
  <sheetData>
    <row r="1">
      <c r="A1" s="1" t="inlineStr">
        <is>
          <t>Test Credentials — seeded accounts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11" t="inlineStr">
        <is>
          <t>● 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Role</t>
        </is>
      </c>
      <c r="B2" s="26" t="inlineStr">
        <is>
          <t>Email</t>
        </is>
      </c>
      <c r="C2" s="26" t="inlineStr">
        <is>
          <t>Password location</t>
        </is>
      </c>
      <c r="D2" s="26" t="inlineStr">
        <is>
          <t>Plan</t>
        </is>
      </c>
      <c r="E2" s="26" t="inlineStr">
        <is>
          <t>Credits seed</t>
        </is>
      </c>
      <c r="F2" s="26" t="inlineStr">
        <is>
          <t>Notes</t>
        </is>
      </c>
      <c r="G2" s="26" t="inlineStr">
        <is>
          <t>Owner</t>
        </is>
      </c>
      <c r="H2" s="26" t="inlineStr">
        <is>
          <t>Last rotated</t>
        </is>
      </c>
    </row>
    <row r="3">
      <c r="A3" s="27" t="inlineStr">
        <is>
          <t>Free</t>
        </is>
      </c>
      <c r="B3" s="27" t="inlineStr">
        <is>
          <t>qa.free@clarify.ai.test</t>
        </is>
      </c>
      <c r="C3" s="27" t="inlineStr">
        <is>
          <t>.env.qa.local → QA_FREE_PASSWORD</t>
        </is>
      </c>
      <c r="D3" s="27" t="inlineStr">
        <is>
          <t>free</t>
        </is>
      </c>
      <c r="E3" s="27" t="inlineStr">
        <is>
          <t>50</t>
        </is>
      </c>
      <c r="F3" s="27" t="inlineStr">
        <is>
          <t>Seeded by npm run qa:seed-accounts — never commit passwords</t>
        </is>
      </c>
      <c r="G3" s="27" t="inlineStr">
        <is>
          <t>Raj Balani</t>
        </is>
      </c>
      <c r="H3" s="27" t="inlineStr"/>
    </row>
    <row r="4">
      <c r="A4" s="29" t="inlineStr">
        <is>
          <t>Pro</t>
        </is>
      </c>
      <c r="B4" s="29" t="inlineStr">
        <is>
          <t>qa.pro@clarify.ai.test</t>
        </is>
      </c>
      <c r="C4" s="29" t="inlineStr">
        <is>
          <t>.env.qa.local → QA_PRO_PASSWORD</t>
        </is>
      </c>
      <c r="D4" s="29" t="inlineStr">
        <is>
          <t>pro</t>
        </is>
      </c>
      <c r="E4" s="29" t="inlineStr">
        <is>
          <t>1400</t>
        </is>
      </c>
      <c r="F4" s="29" t="inlineStr">
        <is>
          <t>Stripe test checkout path</t>
        </is>
      </c>
      <c r="G4" s="29" t="inlineStr">
        <is>
          <t>Raj Balani</t>
        </is>
      </c>
      <c r="H4" s="29" t="inlineStr"/>
    </row>
    <row r="5">
      <c r="A5" s="27" t="inlineStr">
        <is>
          <t>Max</t>
        </is>
      </c>
      <c r="B5" s="27" t="inlineStr">
        <is>
          <t>qa.max@clarify.ai.test</t>
        </is>
      </c>
      <c r="C5" s="27" t="inlineStr">
        <is>
          <t>.env.qa.local → QA_MAX_PASSWORD</t>
        </is>
      </c>
      <c r="D5" s="27" t="inlineStr">
        <is>
          <t>enterprise</t>
        </is>
      </c>
      <c r="E5" s="27" t="inlineStr">
        <is>
          <t>4000</t>
        </is>
      </c>
      <c r="F5" s="27" t="inlineStr">
        <is>
          <t>Workbook Max/Elite maps to plan_id=enterprise</t>
        </is>
      </c>
      <c r="G5" s="27" t="inlineStr">
        <is>
          <t>Raj Balani</t>
        </is>
      </c>
      <c r="H5" s="27" t="inlineStr"/>
    </row>
    <row r="6">
      <c r="A6" s="29" t="inlineStr">
        <is>
          <t>Admin</t>
        </is>
      </c>
      <c r="B6" s="29" t="inlineStr">
        <is>
          <t>qa.admin@clarify.ai.test</t>
        </is>
      </c>
      <c r="C6" s="29" t="inlineStr">
        <is>
          <t>.env.qa.local → QA_ADMIN_PASSWORD</t>
        </is>
      </c>
      <c r="D6" s="29" t="inlineStr">
        <is>
          <t>enterprise</t>
        </is>
      </c>
      <c r="E6" s="29" t="inlineStr">
        <is>
          <t>4000</t>
        </is>
      </c>
      <c r="F6" s="29" t="inlineStr">
        <is>
          <t>user_roles.admin via seed script</t>
        </is>
      </c>
      <c r="G6" s="29" t="inlineStr">
        <is>
          <t>Shreya Patil</t>
        </is>
      </c>
      <c r="H6" s="29" t="inlineStr"/>
    </row>
    <row r="7">
      <c r="A7" s="27" t="inlineStr">
        <is>
          <t>Stripe test card</t>
        </is>
      </c>
      <c r="B7" s="27" t="inlineStr">
        <is>
          <t>N/A</t>
        </is>
      </c>
      <c r="C7" s="27" t="inlineStr">
        <is>
          <t>4242 4242 4242 4242</t>
        </is>
      </c>
      <c r="D7" s="27" t="inlineStr">
        <is>
          <t>N/A</t>
        </is>
      </c>
      <c r="E7" s="27" t="inlineStr">
        <is>
          <t>N/A</t>
        </is>
      </c>
      <c r="F7" s="27" t="inlineStr">
        <is>
          <t>Any future expiry + any CVC; Stripe test mode only</t>
        </is>
      </c>
      <c r="G7" s="27" t="inlineStr">
        <is>
          <t>Raj Balani</t>
        </is>
      </c>
      <c r="H7" s="27" t="inlineStr"/>
    </row>
    <row r="8">
      <c r="A8" s="29" t="inlineStr">
        <is>
          <t>Razorpay test</t>
        </is>
      </c>
      <c r="B8" s="29" t="inlineStr">
        <is>
          <t>N/A</t>
        </is>
      </c>
      <c r="C8" s="29" t="inlineStr">
        <is>
          <t>Dashboard test keys</t>
        </is>
      </c>
      <c r="D8" s="29" t="inlineStr">
        <is>
          <t>N/A</t>
        </is>
      </c>
      <c r="E8" s="29" t="inlineStr">
        <is>
          <t>N/A</t>
        </is>
      </c>
      <c r="F8" s="29" t="inlineStr">
        <is>
          <t>INR one-time Order — no auto-renew (BUG-OPEN-01); keys not in .env.local yet</t>
        </is>
      </c>
      <c r="G8" s="29" t="inlineStr">
        <is>
          <t>Raj Balani</t>
        </is>
      </c>
      <c r="H8" s="29" t="inlineStr"/>
    </row>
  </sheetData>
  <autoFilter ref="A2:H8"/>
  <mergeCells count="1">
    <mergeCell ref="A1:H1"/>
  </mergeCell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6" customWidth="1" min="2" max="2"/>
    <col width="31" customWidth="1" min="3" max="3"/>
    <col width="36" customWidth="1" min="4" max="4"/>
    <col width="12" customWidth="1" min="5" max="5"/>
    <col width="36" customWidth="1" min="6" max="6"/>
  </cols>
  <sheetData>
    <row r="1">
      <c r="A1" s="1" t="inlineStr">
        <is>
          <t>Environments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11" t="inlineStr">
        <is>
          <t>● 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Environment</t>
        </is>
      </c>
      <c r="B2" s="26" t="inlineStr">
        <is>
          <t>Base URL</t>
        </is>
      </c>
      <c r="C2" s="26" t="inlineStr">
        <is>
          <t>Supabase project</t>
        </is>
      </c>
      <c r="D2" s="26" t="inlineStr">
        <is>
          <t>Owner</t>
        </is>
      </c>
      <c r="E2" s="26" t="inlineStr">
        <is>
          <t>Read/Write</t>
        </is>
      </c>
      <c r="F2" s="26" t="inlineStr">
        <is>
          <t>Notes</t>
        </is>
      </c>
    </row>
    <row r="3">
      <c r="A3" s="27" t="inlineStr">
        <is>
          <t>Local</t>
        </is>
      </c>
      <c r="B3" s="27" t="inlineStr">
        <is>
          <t>http://localhost:5173</t>
        </is>
      </c>
      <c r="C3" s="27" t="inlineStr">
        <is>
          <t>qzgvjrvtkwlzxpmlddkx (linked)</t>
        </is>
      </c>
      <c r="D3" s="27" t="inlineStr">
        <is>
          <t>Dev Lead</t>
        </is>
      </c>
      <c r="E3" s="27" t="inlineStr">
        <is>
          <t>Read-Write</t>
        </is>
      </c>
      <c r="F3" s="27" t="inlineStr">
        <is>
          <t>npm run dev</t>
        </is>
      </c>
    </row>
    <row r="4">
      <c r="A4" s="29" t="inlineStr">
        <is>
          <t>Staging / closed beta</t>
        </is>
      </c>
      <c r="B4" s="29" t="inlineStr">
        <is>
          <t>https://clarify.ai.sltfinanceindia.com</t>
        </is>
      </c>
      <c r="C4" s="29" t="inlineStr">
        <is>
          <t>qzgvjrvtkwlzxpmlddkx</t>
        </is>
      </c>
      <c r="D4" s="29" t="inlineStr">
        <is>
          <t>QA Lead</t>
        </is>
      </c>
      <c r="E4" s="29" t="inlineStr">
        <is>
          <t>Read-Write</t>
        </is>
      </c>
      <c r="F4" s="29" t="inlineStr">
        <is>
          <t>Primary QA target — same project as prod until separate staging exists</t>
        </is>
      </c>
    </row>
    <row r="5">
      <c r="A5" s="27" t="inlineStr">
        <is>
          <t>Prod (read-only QA)</t>
        </is>
      </c>
      <c r="B5" s="27" t="inlineStr">
        <is>
          <t>https://clarify.ai.sltfinanceindia.com</t>
        </is>
      </c>
      <c r="C5" s="27" t="inlineStr">
        <is>
          <t>qzgvjrvtkwlzxpmlddkx</t>
        </is>
      </c>
      <c r="D5" s="27" t="inlineStr">
        <is>
          <t>QA Lead</t>
        </is>
      </c>
      <c r="E5" s="27" t="inlineStr">
        <is>
          <t>Read-only</t>
        </is>
      </c>
      <c r="F5" s="27" t="inlineStr">
        <is>
          <t>Prefer seeded QA_* users; avoid destructive admin tests on shared data</t>
        </is>
      </c>
    </row>
    <row r="6"/>
    <row r="7"/>
    <row r="8">
      <c r="A8" s="14" t="inlineStr">
        <is>
          <t>Environments &amp; Secrets Checklist</t>
        </is>
      </c>
    </row>
    <row r="9">
      <c r="A9" s="37" t="inlineStr">
        <is>
          <t>Secret / Config</t>
        </is>
      </c>
      <c r="B9" s="37" t="inlineStr">
        <is>
          <t>Where</t>
        </is>
      </c>
      <c r="C9" s="37" t="inlineStr">
        <is>
          <t>Launch impact</t>
        </is>
      </c>
      <c r="D9" s="37" t="inlineStr">
        <is>
          <t>Notes</t>
        </is>
      </c>
    </row>
    <row r="10">
      <c r="A10" s="38" t="inlineStr">
        <is>
          <t>VITE_SUPABASE_URL</t>
        </is>
      </c>
      <c r="B10" s="38" t="inlineStr">
        <is>
          <t>Client</t>
        </is>
      </c>
      <c r="C10" s="38" t="inlineStr">
        <is>
          <t>Required</t>
        </is>
      </c>
      <c r="D10" s="38" t="inlineStr">
        <is>
          <t>Supabase project URL</t>
        </is>
      </c>
    </row>
    <row r="11">
      <c r="A11" s="38" t="inlineStr">
        <is>
          <t>VITE_SUPABASE_ANON_KEY / PUBLISHABLE_KEY</t>
        </is>
      </c>
      <c r="B11" s="38" t="inlineStr">
        <is>
          <t>Client</t>
        </is>
      </c>
      <c r="C11" s="38" t="inlineStr">
        <is>
          <t>Required</t>
        </is>
      </c>
      <c r="D11" s="38" t="inlineStr">
        <is>
          <t>Rotate in Dashboard if historically exposed (BUG-OPEN-30)</t>
        </is>
      </c>
    </row>
    <row r="12">
      <c r="A12" s="38" t="inlineStr">
        <is>
          <t>SUPABASE_SERVICE_ROLE_KEY</t>
        </is>
      </c>
      <c r="B12" s="38" t="inlineStr">
        <is>
          <t>Edge secrets</t>
        </is>
      </c>
      <c r="C12" s="38" t="inlineStr">
        <is>
          <t>Required</t>
        </is>
      </c>
      <c r="D12" s="38" t="inlineStr">
        <is>
          <t>Never in Vite</t>
        </is>
      </c>
    </row>
    <row r="13">
      <c r="A13" s="38" t="inlineStr">
        <is>
          <t>RESEND_API_KEY</t>
        </is>
      </c>
      <c r="B13" s="38" t="inlineStr">
        <is>
          <t>Edge secrets</t>
        </is>
      </c>
      <c r="C13" s="38" t="inlineStr">
        <is>
          <t>Blocked feature</t>
        </is>
      </c>
      <c r="D13" s="38" t="inlineStr">
        <is>
          <t>Interview reminders / send-email (BUG-OPEN-26)</t>
        </is>
      </c>
    </row>
    <row r="14">
      <c r="A14" s="38" t="inlineStr">
        <is>
          <t>GOOGLE_CLIENT_ID / GOOGLE_CLIENT_SECRET</t>
        </is>
      </c>
      <c r="B14" s="38" t="inlineStr">
        <is>
          <t>Edge secrets</t>
        </is>
      </c>
      <c r="C14" s="38" t="inlineStr">
        <is>
          <t>Blocked feature</t>
        </is>
      </c>
      <c r="D14" s="38" t="inlineStr">
        <is>
          <t>Calendar sync 501 without these (BUG-OPEN-03)</t>
        </is>
      </c>
    </row>
    <row r="15">
      <c r="A15" s="38" t="inlineStr">
        <is>
          <t>STRIPE_SECRET_KEY + webhook secret</t>
        </is>
      </c>
      <c r="B15" s="38" t="inlineStr">
        <is>
          <t>Edge secrets</t>
        </is>
      </c>
      <c r="C15" s="38" t="inlineStr">
        <is>
          <t>Required (USD)</t>
        </is>
      </c>
      <c r="D15" s="38" t="inlineStr">
        <is>
          <t>Checkout + webhooks</t>
        </is>
      </c>
    </row>
    <row r="16">
      <c r="A16" s="38" t="inlineStr">
        <is>
          <t>RAZORPAY_KEY_ID / KEY_SECRET / WEBHOOK_SECRET</t>
        </is>
      </c>
      <c r="B16" s="38" t="inlineStr">
        <is>
          <t>Edge secrets</t>
        </is>
      </c>
      <c r="C16" s="38" t="inlineStr">
        <is>
          <t>Required (INR)</t>
        </is>
      </c>
      <c r="D16" s="38" t="inlineStr">
        <is>
          <t>One-time orders only — no Subscriptions</t>
        </is>
      </c>
    </row>
    <row r="17">
      <c r="A17" s="38" t="inlineStr">
        <is>
          <t>GEMINI_API_KEY (or AI keys used by callAI)</t>
        </is>
      </c>
      <c r="B17" s="38" t="inlineStr">
        <is>
          <t>Edge secrets</t>
        </is>
      </c>
      <c r="C17" s="38" t="inlineStr">
        <is>
          <t>Required for AI</t>
        </is>
      </c>
      <c r="D17" s="38" t="inlineStr">
        <is>
          <t>Gap analysis, mocks, collect-exam-papers</t>
        </is>
      </c>
    </row>
    <row r="18">
      <c r="A18" s="38" t="inlineStr">
        <is>
          <t>DEEPGRAM_API_KEY</t>
        </is>
      </c>
      <c r="B18" s="38" t="inlineStr">
        <is>
          <t>Edge secrets</t>
        </is>
      </c>
      <c r="C18" s="38" t="inlineStr">
        <is>
          <t>Required live</t>
        </is>
      </c>
      <c r="D18" s="38" t="inlineStr">
        <is>
          <t>STT token</t>
        </is>
      </c>
    </row>
    <row r="19">
      <c r="A19" s="38" t="inlineStr">
        <is>
          <t>Code signing EV/OV cert</t>
        </is>
      </c>
      <c r="B19" s="38" t="inlineStr">
        <is>
          <t>CI/build</t>
        </is>
      </c>
      <c r="C19" s="38" t="inlineStr">
        <is>
          <t>Blocked desktop trust</t>
        </is>
      </c>
      <c r="D19" s="38" t="inlineStr">
        <is>
          <t>Unsigned Windows SmartScreen (BUG-OPEN-18/19)</t>
        </is>
      </c>
    </row>
    <row r="20">
      <c r="A20" s="38" t="inlineStr">
        <is>
          <t>VITE_POSTHOG_KEY</t>
        </is>
      </c>
      <c r="B20" s="38" t="inlineStr">
        <is>
          <t>Client optional</t>
        </is>
      </c>
      <c r="C20" s="38" t="inlineStr">
        <is>
          <t>Optional</t>
        </is>
      </c>
      <c r="D20" s="38" t="inlineStr">
        <is>
          <t>Analytics opt-out tested when set</t>
        </is>
      </c>
    </row>
    <row r="21">
      <c r="A21" s="38" t="inlineStr">
        <is>
          <t>VITE_SENTRY_DSN</t>
        </is>
      </c>
      <c r="B21" s="38" t="inlineStr">
        <is>
          <t>Client optional</t>
        </is>
      </c>
      <c r="C21" s="38" t="inlineStr">
        <is>
          <t>Optional</t>
        </is>
      </c>
      <c r="D21" s="38" t="inlineStr">
        <is>
          <t>Error reporting</t>
        </is>
      </c>
    </row>
  </sheetData>
  <autoFilter ref="A2:F5"/>
  <mergeCells count="1">
    <mergeCell ref="A1:F1"/>
  </mergeCell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6" customWidth="1" min="2" max="2"/>
    <col width="36" customWidth="1" min="3" max="3"/>
    <col width="23" customWidth="1" min="4" max="4"/>
    <col width="36" customWidth="1" min="5" max="5"/>
    <col width="18" customWidth="1" min="6" max="6"/>
    <col width="25" customWidth="1" min="7" max="7"/>
    <col width="36" customWidth="1" min="8" max="8"/>
  </cols>
  <sheetData>
    <row r="1">
      <c r="A1" s="1" t="inlineStr">
        <is>
          <t>Module Playbooks — 20 modules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11" t="inlineStr">
        <is>
          <t>● 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Module ID</t>
        </is>
      </c>
      <c r="B2" s="26" t="inlineStr">
        <is>
          <t>Module</t>
        </is>
      </c>
      <c r="C2" s="26" t="inlineStr">
        <is>
          <t>Purpose</t>
        </is>
      </c>
      <c r="D2" s="26" t="inlineStr">
        <is>
          <t>Entry URL</t>
        </is>
      </c>
      <c r="E2" s="26" t="inlineStr">
        <is>
          <t>Happy path (steps)</t>
        </is>
      </c>
      <c r="F2" s="26" t="inlineStr">
        <is>
          <t>Plan gate</t>
        </is>
      </c>
      <c r="G2" s="26" t="inlineStr">
        <is>
          <t>Dependencies</t>
        </is>
      </c>
      <c r="H2" s="26" t="inlineStr">
        <is>
          <t>Done when</t>
        </is>
      </c>
    </row>
    <row r="3">
      <c r="A3" s="27" t="inlineStr">
        <is>
          <t>MOD-01</t>
        </is>
      </c>
      <c r="B3" s="27" t="inlineStr">
        <is>
          <t>Auth &amp; Onboarding</t>
        </is>
      </c>
      <c r="C3" s="27" t="inlineStr">
        <is>
          <t>Sign up/login and finish onboarding</t>
        </is>
      </c>
      <c r="D3" s="27" t="inlineStr">
        <is>
          <t>/login</t>
        </is>
      </c>
      <c r="E3" s="27" t="inlineStr">
        <is>
          <t>1. Sign up 2. Verify email 3. Complete 5 steps</t>
        </is>
      </c>
      <c r="F3" s="27" t="inlineStr">
        <is>
          <t>Free</t>
        </is>
      </c>
      <c r="G3" s="27" t="inlineStr">
        <is>
          <t>Supabase Auth</t>
        </is>
      </c>
      <c r="H3" s="27" t="inlineStr">
        <is>
          <t>Land on dashboard with profile</t>
        </is>
      </c>
    </row>
    <row r="4">
      <c r="A4" s="29" t="inlineStr">
        <is>
          <t>MOD-02</t>
        </is>
      </c>
      <c r="B4" s="29" t="inlineStr">
        <is>
          <t>Dashboard</t>
        </is>
      </c>
      <c r="C4" s="29" t="inlineStr">
        <is>
          <t>See KPIs and navigate app</t>
        </is>
      </c>
      <c r="D4" s="29" t="inlineStr">
        <is>
          <t>/app/dashboard</t>
        </is>
      </c>
      <c r="E4" s="29" t="inlineStr">
        <is>
          <t>1. Open home 2. Check credits/sessions 3. Mobile More nav</t>
        </is>
      </c>
      <c r="F4" s="29" t="inlineStr">
        <is>
          <t>Free</t>
        </is>
      </c>
      <c r="G4" s="29" t="inlineStr">
        <is>
          <t>Auth session</t>
        </is>
      </c>
      <c r="H4" s="29" t="inlineStr">
        <is>
          <t>KPIs load; nav works</t>
        </is>
      </c>
    </row>
    <row r="5">
      <c r="A5" s="27" t="inlineStr">
        <is>
          <t>MOD-03</t>
        </is>
      </c>
      <c r="B5" s="27" t="inlineStr">
        <is>
          <t>Live Practice Coach</t>
        </is>
      </c>
      <c r="C5" s="27" t="inlineStr">
        <is>
          <t>Run live coach with STT + hint</t>
        </is>
      </c>
      <c r="D5" s="27" t="inlineStr">
        <is>
          <t>/app/live</t>
        </is>
      </c>
      <c r="E5" s="27" t="inlineStr">
        <is>
          <t>1. Start session 2. Capture audio 3. Request hint</t>
        </is>
      </c>
      <c r="F5" s="27" t="inlineStr">
        <is>
          <t>Free/Pro overlay</t>
        </is>
      </c>
      <c r="G5" s="27" t="inlineStr">
        <is>
          <t>Deepgram + credits</t>
        </is>
      </c>
      <c r="H5" s="27" t="inlineStr">
        <is>
          <t>Transcript + hint without crash</t>
        </is>
      </c>
    </row>
    <row r="6">
      <c r="A6" s="29" t="inlineStr">
        <is>
          <t>MOD-04</t>
        </is>
      </c>
      <c r="B6" s="29" t="inlineStr">
        <is>
          <t>Mock Interview</t>
        </is>
      </c>
      <c r="C6" s="29" t="inlineStr">
        <is>
          <t>Timed mock interview</t>
        </is>
      </c>
      <c r="D6" s="29" t="inlineStr">
        <is>
          <t>/app/mock</t>
        </is>
      </c>
      <c r="E6" s="29" t="inlineStr">
        <is>
          <t>1. Configure 2. Answer 3. Finish scoring</t>
        </is>
      </c>
      <c r="F6" s="29" t="inlineStr">
        <is>
          <t>Free</t>
        </is>
      </c>
      <c r="G6" s="29" t="inlineStr">
        <is>
          <t>AI edge</t>
        </is>
      </c>
      <c r="H6" s="29" t="inlineStr">
        <is>
          <t>Session saved; note no TTS</t>
        </is>
      </c>
    </row>
    <row r="7">
      <c r="A7" s="27" t="inlineStr">
        <is>
          <t>MOD-05</t>
        </is>
      </c>
      <c r="B7" s="27" t="inlineStr">
        <is>
          <t>Sessions &amp; Debriefs</t>
        </is>
      </c>
      <c r="C7" s="27" t="inlineStr">
        <is>
          <t>Review history + debrief</t>
        </is>
      </c>
      <c r="D7" s="27" t="inlineStr">
        <is>
          <t>/app/sessions</t>
        </is>
      </c>
      <c r="E7" s="27" t="inlineStr">
        <is>
          <t>1. Open session 2. Debrief 3. Share if enabled</t>
        </is>
      </c>
      <c r="F7" s="27" t="inlineStr">
        <is>
          <t>Free</t>
        </is>
      </c>
      <c r="G7" s="27" t="inlineStr">
        <is>
          <t>Credits for debrief</t>
        </is>
      </c>
      <c r="H7" s="27" t="inlineStr">
        <is>
          <t>Scores/debrief render</t>
        </is>
      </c>
    </row>
    <row r="8">
      <c r="A8" s="29" t="inlineStr">
        <is>
          <t>MOD-06</t>
        </is>
      </c>
      <c r="B8" s="29" t="inlineStr">
        <is>
          <t>Analytics &amp; Usage</t>
        </is>
      </c>
      <c r="C8" s="29" t="inlineStr">
        <is>
          <t>Analytics + usage ledger</t>
        </is>
      </c>
      <c r="D8" s="29" t="inlineStr">
        <is>
          <t>/app/analytics</t>
        </is>
      </c>
      <c r="E8" s="29" t="inlineStr">
        <is>
          <t>1. Open analytics 2. Open /app/usage</t>
        </is>
      </c>
      <c r="F8" s="29" t="inlineStr">
        <is>
          <t>Free</t>
        </is>
      </c>
      <c r="G8" s="29" t="inlineStr">
        <is>
          <t>Sessions data</t>
        </is>
      </c>
      <c r="H8" s="29" t="inlineStr">
        <is>
          <t>Charts/ledger load</t>
        </is>
      </c>
    </row>
    <row r="9">
      <c r="A9" s="27" t="inlineStr">
        <is>
          <t>MOD-07</t>
        </is>
      </c>
      <c r="B9" s="27" t="inlineStr">
        <is>
          <t>Prep Lab</t>
        </is>
      </c>
      <c r="C9" s="27" t="inlineStr">
        <is>
          <t>Prep Lab tools</t>
        </is>
      </c>
      <c r="D9" s="27" t="inlineStr">
        <is>
          <t>/app/prep</t>
        </is>
      </c>
      <c r="E9" s="27" t="inlineStr">
        <is>
          <t>1. STAR 2. Rephrase 3. Confirm credit toast</t>
        </is>
      </c>
      <c r="F9" s="27" t="inlineStr">
        <is>
          <t>Free</t>
        </is>
      </c>
      <c r="G9" s="27" t="inlineStr">
        <is>
          <t>prep-tool edge</t>
        </is>
      </c>
      <c r="H9" s="27" t="inlineStr">
        <is>
          <t>Output appears; credits deduct</t>
        </is>
      </c>
    </row>
    <row r="10">
      <c r="A10" s="29" t="inlineStr">
        <is>
          <t>MOD-08</t>
        </is>
      </c>
      <c r="B10" s="29" t="inlineStr">
        <is>
          <t>Documents &amp; Resumes</t>
        </is>
      </c>
      <c r="C10" s="29" t="inlineStr">
        <is>
          <t>Documents + gap + versions</t>
        </is>
      </c>
      <c r="D10" s="29" t="inlineStr">
        <is>
          <t>/app/documents</t>
        </is>
      </c>
      <c r="E10" s="29" t="inlineStr">
        <is>
          <t>1. Upload resume 2. JD gap analysis 3. Version history</t>
        </is>
      </c>
      <c r="F10" s="29" t="inlineStr">
        <is>
          <t>Free</t>
        </is>
      </c>
      <c r="G10" s="29" t="inlineStr">
        <is>
          <t>parse/gap edges</t>
        </is>
      </c>
      <c r="H10" s="29" t="inlineStr">
        <is>
          <t>Parse + gap + versions visible</t>
        </is>
      </c>
    </row>
    <row r="11">
      <c r="A11" s="27" t="inlineStr">
        <is>
          <t>MOD-09</t>
        </is>
      </c>
      <c r="B11" s="27" t="inlineStr">
        <is>
          <t>Answer Bank</t>
        </is>
      </c>
      <c r="C11" s="27" t="inlineStr">
        <is>
          <t>Answer bank CRUD</t>
        </is>
      </c>
      <c r="D11" s="27" t="inlineStr">
        <is>
          <t>/app/answers</t>
        </is>
      </c>
      <c r="E11" s="27" t="inlineStr">
        <is>
          <t>1. Create 2. Edit 3. Favourite</t>
        </is>
      </c>
      <c r="F11" s="27" t="inlineStr">
        <is>
          <t>Free</t>
        </is>
      </c>
      <c r="G11" s="27" t="inlineStr">
        <is>
          <t>DB</t>
        </is>
      </c>
      <c r="H11" s="27" t="inlineStr">
        <is>
          <t>Persists after refresh</t>
        </is>
      </c>
    </row>
    <row r="12">
      <c r="A12" s="29" t="inlineStr">
        <is>
          <t>MOD-10</t>
        </is>
      </c>
      <c r="B12" s="29" t="inlineStr">
        <is>
          <t>Interviews &amp; Calendar</t>
        </is>
      </c>
      <c r="C12" s="29" t="inlineStr">
        <is>
          <t>Schedule + calendar</t>
        </is>
      </c>
      <c r="D12" s="29" t="inlineStr">
        <is>
          <t>/app/interviews</t>
        </is>
      </c>
      <c r="E12" s="29" t="inlineStr">
        <is>
          <t>1. Create interview 2. Interview Day 3. Calendar sync if secrets</t>
        </is>
      </c>
      <c r="F12" s="29" t="inlineStr">
        <is>
          <t>Pro for sync</t>
        </is>
      </c>
      <c r="G12" s="29" t="inlineStr">
        <is>
          <t>Resend/Google secrets</t>
        </is>
      </c>
      <c r="H12" s="29" t="inlineStr">
        <is>
          <t>CRUD works; sync Blocked without secrets</t>
        </is>
      </c>
    </row>
    <row r="13">
      <c r="A13" s="27" t="inlineStr">
        <is>
          <t>MOD-11</t>
        </is>
      </c>
      <c r="B13" s="27" t="inlineStr">
        <is>
          <t>Company Research</t>
        </is>
      </c>
      <c r="C13" s="27" t="inlineStr">
        <is>
          <t>Company brief</t>
        </is>
      </c>
      <c r="D13" s="27" t="inlineStr">
        <is>
          <t>/app/companies</t>
        </is>
      </c>
      <c r="E13" s="27" t="inlineStr">
        <is>
          <t>1. Search company 2. Generate brief</t>
        </is>
      </c>
      <c r="F13" s="27" t="inlineStr">
        <is>
          <t>Pro+</t>
        </is>
      </c>
      <c r="G13" s="27" t="inlineStr">
        <is>
          <t>company-research</t>
        </is>
      </c>
      <c r="H13" s="27" t="inlineStr">
        <is>
          <t>Brief cached</t>
        </is>
      </c>
    </row>
    <row r="14">
      <c r="A14" s="29" t="inlineStr">
        <is>
          <t>MOD-12</t>
        </is>
      </c>
      <c r="B14" s="29" t="inlineStr">
        <is>
          <t>Notifications &amp; Profile</t>
        </is>
      </c>
      <c r="C14" s="29" t="inlineStr">
        <is>
          <t>Notifications + prefs</t>
        </is>
      </c>
      <c r="D14" s="29" t="inlineStr">
        <is>
          <t>/app/notifications</t>
        </is>
      </c>
      <c r="E14" s="29" t="inlineStr">
        <is>
          <t>1. See inbox 2. Settings notifications prefs</t>
        </is>
      </c>
      <c r="F14" s="29" t="inlineStr">
        <is>
          <t>Free</t>
        </is>
      </c>
      <c r="G14" s="29" t="inlineStr">
        <is>
          <t>send-email prefs</t>
        </is>
      </c>
      <c r="H14" s="29" t="inlineStr">
        <is>
          <t>Prefs save; email gated</t>
        </is>
      </c>
    </row>
    <row r="15">
      <c r="A15" s="27" t="inlineStr">
        <is>
          <t>MOD-13</t>
        </is>
      </c>
      <c r="B15" s="27" t="inlineStr">
        <is>
          <t>Referrals &amp; Guide</t>
        </is>
      </c>
      <c r="C15" s="27" t="inlineStr">
        <is>
          <t>Referrals + guide</t>
        </is>
      </c>
      <c r="D15" s="27" t="inlineStr">
        <is>
          <t>/app/referrals</t>
        </is>
      </c>
      <c r="E15" s="27" t="inlineStr">
        <is>
          <t>1. Copy code 2. Open guide</t>
        </is>
      </c>
      <c r="F15" s="27" t="inlineStr">
        <is>
          <t>Free</t>
        </is>
      </c>
      <c r="G15" s="27" t="inlineStr">
        <is>
          <t>DB</t>
        </is>
      </c>
      <c r="H15" s="27" t="inlineStr">
        <is>
          <t>Code visible</t>
        </is>
      </c>
    </row>
    <row r="16">
      <c r="A16" s="29" t="inlineStr">
        <is>
          <t>MOD-14</t>
        </is>
      </c>
      <c r="B16" s="29" t="inlineStr">
        <is>
          <t>Gov Exam Mock Tests</t>
        </is>
      </c>
      <c r="C16" s="29" t="inlineStr">
        <is>
          <t>Gov exam mock</t>
        </is>
      </c>
      <c r="D16" s="29" t="inlineStr">
        <is>
          <t>/app/mock-test</t>
        </is>
      </c>
      <c r="E16" s="29" t="inlineStr">
        <is>
          <t>1. Pick exam 2. Create test 3. Submit</t>
        </is>
      </c>
      <c r="F16" s="29" t="inlineStr">
        <is>
          <t>Free (India)</t>
        </is>
      </c>
      <c r="G16" s="29" t="inlineStr">
        <is>
          <t>Expanded MCQ seeds</t>
        </is>
      </c>
      <c r="H16" s="29" t="inlineStr">
        <is>
          <t>Full mock completes</t>
        </is>
      </c>
    </row>
    <row r="17">
      <c r="A17" s="27" t="inlineStr">
        <is>
          <t>MOD-15</t>
        </is>
      </c>
      <c r="B17" s="27" t="inlineStr">
        <is>
          <t>Settings</t>
        </is>
      </c>
      <c r="C17" s="27" t="inlineStr">
        <is>
          <t>Settings honesty</t>
        </is>
      </c>
      <c r="D17" s="27" t="inlineStr">
        <is>
          <t>/app/settings</t>
        </is>
      </c>
      <c r="E17" s="27" t="inlineStr">
        <is>
          <t>1. Billing 2. Privacy analytics 3. Integrations</t>
        </is>
      </c>
      <c r="F17" s="27" t="inlineStr">
        <is>
          <t>Free</t>
        </is>
      </c>
      <c r="G17" s="27" t="inlineStr">
        <is>
          <t>PostHog optional</t>
        </is>
      </c>
      <c r="H17" s="27" t="inlineStr">
        <is>
          <t>Honesty banners accurate</t>
        </is>
      </c>
    </row>
    <row r="18">
      <c r="A18" s="29" t="inlineStr">
        <is>
          <t>MOD-16</t>
        </is>
      </c>
      <c r="B18" s="29" t="inlineStr">
        <is>
          <t>Admin Portal</t>
        </is>
      </c>
      <c r="C18" s="29" t="inlineStr">
        <is>
          <t>Admin ops</t>
        </is>
      </c>
      <c r="D18" s="29" t="inlineStr">
        <is>
          <t>/app/admin</t>
        </is>
      </c>
      <c r="E18" s="29" t="inlineStr">
        <is>
          <t>1. Users 2. Support→Live Chat 3. Model costs read-only</t>
        </is>
      </c>
      <c r="F18" s="29" t="inlineStr">
        <is>
          <t>Admin</t>
        </is>
      </c>
      <c r="G18" s="29" t="inlineStr">
        <is>
          <t>admin role</t>
        </is>
      </c>
      <c r="H18" s="29" t="inlineStr">
        <is>
          <t>No stub Save; chat reachable</t>
        </is>
      </c>
    </row>
    <row r="19">
      <c r="A19" s="27" t="inlineStr">
        <is>
          <t>MOD-17</t>
        </is>
      </c>
      <c r="B19" s="27" t="inlineStr">
        <is>
          <t>Marketing Site</t>
        </is>
      </c>
      <c r="C19" s="27" t="inlineStr">
        <is>
          <t>Marketing pages</t>
        </is>
      </c>
      <c r="D19" s="27" t="inlineStr">
        <is>
          <t>/</t>
        </is>
      </c>
      <c r="E19" s="27" t="inlineStr">
        <is>
          <t>1. Landing 2. Pricing 3. Legal</t>
        </is>
      </c>
      <c r="F19" s="27" t="inlineStr">
        <is>
          <t>Guest</t>
        </is>
      </c>
      <c r="G19" s="27" t="inlineStr">
        <is>
          <t>Static</t>
        </is>
      </c>
      <c r="H19" s="27" t="inlineStr">
        <is>
          <t>Pages render</t>
        </is>
      </c>
    </row>
    <row r="20">
      <c r="A20" s="29" t="inlineStr">
        <is>
          <t>MOD-18</t>
        </is>
      </c>
      <c r="B20" s="29" t="inlineStr">
        <is>
          <t>Billing &amp; Credits</t>
        </is>
      </c>
      <c r="C20" s="29" t="inlineStr">
        <is>
          <t>Stripe/Razorpay + credits</t>
        </is>
      </c>
      <c r="D20" s="29" t="inlineStr">
        <is>
          <t>/app/settings/billing</t>
        </is>
      </c>
      <c r="E20" s="29" t="inlineStr">
        <is>
          <t>1. Checkout test 2. Webhook credit 3. Ledger</t>
        </is>
      </c>
      <c r="F20" s="29" t="inlineStr">
        <is>
          <t>Free→Pro</t>
        </is>
      </c>
      <c r="G20" s="29" t="inlineStr">
        <is>
          <t>Stripe/Razorpay secrets</t>
        </is>
      </c>
      <c r="H20" s="29" t="inlineStr">
        <is>
          <t>Credits grant; Razorpay one-time honesty</t>
        </is>
      </c>
    </row>
    <row r="21">
      <c r="A21" s="27" t="inlineStr">
        <is>
          <t>MOD-19</t>
        </is>
      </c>
      <c r="B21" s="27" t="inlineStr">
        <is>
          <t>Electron Desktop Overlay</t>
        </is>
      </c>
      <c r="C21" s="27" t="inlineStr">
        <is>
          <t>Electron overlay</t>
        </is>
      </c>
      <c r="D21" s="27" t="inlineStr">
        <is>
          <t>(desktop)</t>
        </is>
      </c>
      <c r="E21" s="27" t="inlineStr">
        <is>
          <t>1. Boot 2. Hotkeys 3. Overlay</t>
        </is>
      </c>
      <c r="F21" s="27" t="inlineStr">
        <is>
          <t>Pro overlay</t>
        </is>
      </c>
      <c r="G21" s="27" t="inlineStr">
        <is>
          <t>Unsigned build</t>
        </is>
      </c>
      <c r="H21" s="27" t="inlineStr">
        <is>
          <t>Works; SmartScreen expected</t>
        </is>
      </c>
    </row>
    <row r="22">
      <c r="A22" s="29" t="inlineStr">
        <is>
          <t>MOD-20</t>
        </is>
      </c>
      <c r="B22" s="29" t="inlineStr">
        <is>
          <t>Security &amp; Platform</t>
        </is>
      </c>
      <c r="C22" s="29" t="inlineStr">
        <is>
          <t>Security platform</t>
        </is>
      </c>
      <c r="D22" s="29" t="inlineStr">
        <is>
          <t>N/A</t>
        </is>
      </c>
      <c r="E22" s="29" t="inlineStr">
        <is>
          <t>1. RLS spot-check 2. Rate limit 3. Webhook signature</t>
        </is>
      </c>
      <c r="F22" s="29" t="inlineStr">
        <is>
          <t>Admin/ops</t>
        </is>
      </c>
      <c r="G22" s="29" t="inlineStr">
        <is>
          <t>Service role</t>
        </is>
      </c>
      <c r="H22" s="29" t="inlineStr">
        <is>
          <t>No open RLS holes in smoke</t>
        </is>
      </c>
    </row>
  </sheetData>
  <autoFilter ref="A2:H22"/>
  <mergeCells count="1">
    <mergeCell ref="A1:H1"/>
  </mergeCell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12" customWidth="1" min="2" max="2"/>
    <col width="36" customWidth="1" min="3" max="3"/>
  </cols>
  <sheetData>
    <row r="1">
      <c r="A1" s="1" t="inlineStr">
        <is>
          <t>Launch Status Dashboard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11" t="inlineStr">
        <is>
          <t>● 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Metric</t>
        </is>
      </c>
      <c r="B2" s="26" t="inlineStr">
        <is>
          <t>Count</t>
        </is>
      </c>
      <c r="C2" s="26" t="inlineStr">
        <is>
          <t>Notes</t>
        </is>
      </c>
    </row>
    <row r="3">
      <c r="A3" s="27" t="inlineStr">
        <is>
          <t>Bugs Fixed/Closed</t>
        </is>
      </c>
      <c r="B3" s="27" t="n">
        <v>39</v>
      </c>
      <c r="C3" s="27" t="inlineStr">
        <is>
          <t>Includes P0–P2 + launch-pass OPEN fixes</t>
        </is>
      </c>
    </row>
    <row r="4">
      <c r="A4" s="29" t="inlineStr">
        <is>
          <t>Bugs Open</t>
        </is>
      </c>
      <c r="B4" s="29" t="n">
        <v>12</v>
      </c>
      <c r="C4" s="29" t="inlineStr">
        <is>
          <t>Product/roadmap still open</t>
        </is>
      </c>
    </row>
    <row r="5">
      <c r="A5" s="27" t="inlineStr">
        <is>
          <t>Bugs Blocked (ops/secrets)</t>
        </is>
      </c>
      <c r="B5" s="27" t="n">
        <v>6</v>
      </c>
      <c r="C5" s="27" t="inlineStr">
        <is>
          <t>Calendar, Resend, signing, key rotation, Gemini collect</t>
        </is>
      </c>
    </row>
    <row r="6">
      <c r="A6" s="29" t="inlineStr">
        <is>
          <t>Bugs Won't Fix / Descope</t>
        </is>
      </c>
      <c r="B6" s="29" t="n">
        <v>1</v>
      </c>
      <c r="C6" s="29" t="inlineStr">
        <is>
          <t>Outlook etc.</t>
        </is>
      </c>
    </row>
    <row r="7">
      <c r="A7" s="27" t="inlineStr">
        <is>
          <t>Features total</t>
        </is>
      </c>
      <c r="B7" s="27" t="n">
        <v>114</v>
      </c>
      <c r="C7" s="27" t="inlineStr">
        <is>
          <t>See Feature Inventory</t>
        </is>
      </c>
    </row>
    <row r="8">
      <c r="A8" s="29" t="inlineStr">
        <is>
          <t>Features Completed status</t>
        </is>
      </c>
      <c r="B8" s="29" t="n">
        <v>91</v>
      </c>
      <c r="C8" s="29" t="inlineStr"/>
    </row>
    <row r="9"/>
    <row r="10"/>
    <row r="11"/>
    <row r="12">
      <c r="A12" s="14" t="inlineStr">
        <is>
          <t>Blocking for launch (honesty)</t>
        </is>
      </c>
    </row>
    <row r="13">
      <c r="A13" s="4" t="inlineStr">
        <is>
          <t>Razorpay is one-time Order only — copy must not promise renew (BUG-OPEN-01)</t>
        </is>
      </c>
    </row>
    <row r="14">
      <c r="A14" s="4" t="inlineStr">
        <is>
          <t>Unsigned Windows installer → SmartScreen (BUG-OPEN-18/19) unless EV/OV cert</t>
        </is>
      </c>
    </row>
    <row r="15">
      <c r="A15" s="4" t="inlineStr">
        <is>
          <t>Google Calendar sync 501 until OAuth secrets (BUG-OPEN-03) if calendar is promised</t>
        </is>
      </c>
    </row>
    <row r="16">
      <c r="A16" s="4" t="inlineStr">
        <is>
          <t>Interview email reminders need RESEND_API_KEY (BUG-OPEN-26)</t>
        </is>
      </c>
    </row>
    <row r="17">
      <c r="A17" s="4" t="inlineStr">
        <is>
          <t>Anon key rotation is Dashboard ops only (BUG-OPEN-30)</t>
        </is>
      </c>
    </row>
    <row r="18">
      <c r="A18" s="4" t="inlineStr">
        <is>
          <t>Gov bank expanded in migration — apply 20260729120000 before claiming full mocks</t>
        </is>
      </c>
    </row>
  </sheetData>
  <autoFilter ref="A2:C8"/>
  <mergeCells count="1">
    <mergeCell ref="A1:C1"/>
  </mergeCell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O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6" customWidth="1" min="2" max="2"/>
    <col width="17" customWidth="1" min="3" max="3"/>
    <col width="29" customWidth="1" min="4" max="4"/>
    <col width="36" customWidth="1" min="5" max="5"/>
    <col width="36" customWidth="1" min="6" max="6"/>
    <col width="36" customWidth="1" min="7" max="7"/>
    <col width="12" customWidth="1" min="8" max="8"/>
  </cols>
  <sheetData>
    <row r="1">
      <c r="A1" s="1" t="inlineStr">
        <is>
          <t>Smoke Pack — ~20 must-pass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11" t="inlineStr">
        <is>
          <t>● 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Smoke ID</t>
        </is>
      </c>
      <c r="B2" s="26" t="inlineStr">
        <is>
          <t>Title</t>
        </is>
      </c>
      <c r="C2" s="26" t="inlineStr">
        <is>
          <t>Credential role</t>
        </is>
      </c>
      <c r="D2" s="26" t="inlineStr">
        <is>
          <t>Route</t>
        </is>
      </c>
      <c r="E2" s="26" t="inlineStr">
        <is>
          <t>Deep Link</t>
        </is>
      </c>
      <c r="F2" s="26" t="inlineStr">
        <is>
          <t>Steps</t>
        </is>
      </c>
      <c r="G2" s="26" t="inlineStr">
        <is>
          <t>Expected</t>
        </is>
      </c>
      <c r="H2" s="26" t="inlineStr">
        <is>
          <t>Pass/Fail</t>
        </is>
      </c>
    </row>
    <row r="3">
      <c r="A3" s="27" t="inlineStr">
        <is>
          <t>SMK-01</t>
        </is>
      </c>
      <c r="B3" s="27" t="inlineStr">
        <is>
          <t>Login email</t>
        </is>
      </c>
      <c r="C3" s="27" t="inlineStr">
        <is>
          <t>Free</t>
        </is>
      </c>
      <c r="D3" s="27" t="inlineStr">
        <is>
          <t>/login</t>
        </is>
      </c>
      <c r="E3" s="27">
        <f>IFERROR(Environments!$B$3&amp;D3,D3)</f>
        <v/>
      </c>
      <c r="F3" s="27" t="inlineStr">
        <is>
          <t>Sign in with seeded free user</t>
        </is>
      </c>
      <c r="G3" s="27" t="inlineStr">
        <is>
          <t>Dashboard loads</t>
        </is>
      </c>
      <c r="H3" s="27" t="inlineStr">
        <is>
          <t>Not Run</t>
        </is>
      </c>
    </row>
    <row r="4">
      <c r="A4" s="29" t="inlineStr">
        <is>
          <t>SMK-02</t>
        </is>
      </c>
      <c r="B4" s="29" t="inlineStr">
        <is>
          <t>Dashboard KPIs</t>
        </is>
      </c>
      <c r="C4" s="29" t="inlineStr">
        <is>
          <t>Free</t>
        </is>
      </c>
      <c r="D4" s="29" t="inlineStr">
        <is>
          <t>/app/dashboard</t>
        </is>
      </c>
      <c r="E4" s="29">
        <f>IFERROR(Environments!$B$3&amp;D4,D4)</f>
        <v/>
      </c>
      <c r="F4" s="29" t="inlineStr">
        <is>
          <t>Open home</t>
        </is>
      </c>
      <c r="G4" s="29" t="inlineStr">
        <is>
          <t>Credits/sessions visible</t>
        </is>
      </c>
      <c r="H4" s="29" t="inlineStr">
        <is>
          <t>Not Run</t>
        </is>
      </c>
    </row>
    <row r="5">
      <c r="A5" s="27" t="inlineStr">
        <is>
          <t>SMK-03</t>
        </is>
      </c>
      <c r="B5" s="27" t="inlineStr">
        <is>
          <t>Mobile More nav</t>
        </is>
      </c>
      <c r="C5" s="27" t="inlineStr">
        <is>
          <t>Free</t>
        </is>
      </c>
      <c r="D5" s="27" t="inlineStr">
        <is>
          <t>/app/dashboard</t>
        </is>
      </c>
      <c r="E5" s="27">
        <f>IFERROR(Environments!$B$3&amp;D5,D5)</f>
        <v/>
      </c>
      <c r="F5" s="27" t="inlineStr">
        <is>
          <t>Open More; tap Notifications, Guide, Profile, Usage</t>
        </is>
      </c>
      <c r="G5" s="27" t="inlineStr">
        <is>
          <t>All routes open</t>
        </is>
      </c>
      <c r="H5" s="27" t="inlineStr">
        <is>
          <t>Not Run</t>
        </is>
      </c>
    </row>
    <row r="6">
      <c r="A6" s="29" t="inlineStr">
        <is>
          <t>SMK-04</t>
        </is>
      </c>
      <c r="B6" s="29" t="inlineStr">
        <is>
          <t>Live hint</t>
        </is>
      </c>
      <c r="C6" s="29" t="inlineStr">
        <is>
          <t>Pro</t>
        </is>
      </c>
      <c r="D6" s="29" t="inlineStr">
        <is>
          <t>/app/live</t>
        </is>
      </c>
      <c r="E6" s="29">
        <f>IFERROR(Environments!$B$3&amp;D6,D6)</f>
        <v/>
      </c>
      <c r="F6" s="29" t="inlineStr">
        <is>
          <t>Start + request hint</t>
        </is>
      </c>
      <c r="G6" s="29" t="inlineStr">
        <is>
          <t>Hint returns; credits drop</t>
        </is>
      </c>
      <c r="H6" s="29" t="inlineStr">
        <is>
          <t>Not Run</t>
        </is>
      </c>
    </row>
    <row r="7">
      <c r="A7" s="27" t="inlineStr">
        <is>
          <t>SMK-05</t>
        </is>
      </c>
      <c r="B7" s="27" t="inlineStr">
        <is>
          <t>Mock create</t>
        </is>
      </c>
      <c r="C7" s="27" t="inlineStr">
        <is>
          <t>Free</t>
        </is>
      </c>
      <c r="D7" s="27" t="inlineStr">
        <is>
          <t>/app/mock</t>
        </is>
      </c>
      <c r="E7" s="27">
        <f>IFERROR(Environments!$B$3&amp;D7,D7)</f>
        <v/>
      </c>
      <c r="F7" s="27" t="inlineStr">
        <is>
          <t>Start mock</t>
        </is>
      </c>
      <c r="G7" s="27" t="inlineStr">
        <is>
          <t>Session creates</t>
        </is>
      </c>
      <c r="H7" s="27" t="inlineStr">
        <is>
          <t>Not Run</t>
        </is>
      </c>
    </row>
    <row r="8">
      <c r="A8" s="29" t="inlineStr">
        <is>
          <t>SMK-06</t>
        </is>
      </c>
      <c r="B8" s="29" t="inlineStr">
        <is>
          <t>Resume parse</t>
        </is>
      </c>
      <c r="C8" s="29" t="inlineStr">
        <is>
          <t>Free</t>
        </is>
      </c>
      <c r="D8" s="29" t="inlineStr">
        <is>
          <t>/app/documents</t>
        </is>
      </c>
      <c r="E8" s="29">
        <f>IFERROR(Environments!$B$3&amp;D8,D8)</f>
        <v/>
      </c>
      <c r="F8" s="29" t="inlineStr">
        <is>
          <t>Upload resume</t>
        </is>
      </c>
      <c r="G8" s="29" t="inlineStr">
        <is>
          <t>Parsed fields show</t>
        </is>
      </c>
      <c r="H8" s="29" t="inlineStr">
        <is>
          <t>Not Run</t>
        </is>
      </c>
    </row>
    <row r="9">
      <c r="A9" s="27" t="inlineStr">
        <is>
          <t>SMK-07</t>
        </is>
      </c>
      <c r="B9" s="27" t="inlineStr">
        <is>
          <t>Gap analysis</t>
        </is>
      </c>
      <c r="C9" s="27" t="inlineStr">
        <is>
          <t>Pro</t>
        </is>
      </c>
      <c r="D9" s="27" t="inlineStr">
        <is>
          <t>/app/documents</t>
        </is>
      </c>
      <c r="E9" s="27">
        <f>IFERROR(Environments!$B$3&amp;D9,D9)</f>
        <v/>
      </c>
      <c r="F9" s="27" t="inlineStr">
        <is>
          <t>JD → Run gap analysis</t>
        </is>
      </c>
      <c r="G9" s="27" t="inlineStr">
        <is>
          <t>Match score UI; 402 if broke</t>
        </is>
      </c>
      <c r="H9" s="27" t="inlineStr">
        <is>
          <t>Not Run</t>
        </is>
      </c>
    </row>
    <row r="10">
      <c r="A10" s="29" t="inlineStr">
        <is>
          <t>SMK-08</t>
        </is>
      </c>
      <c r="B10" s="29" t="inlineStr">
        <is>
          <t>Resume versions</t>
        </is>
      </c>
      <c r="C10" s="29" t="inlineStr">
        <is>
          <t>Free</t>
        </is>
      </c>
      <c r="D10" s="29" t="inlineStr">
        <is>
          <t>/app/documents</t>
        </is>
      </c>
      <c r="E10" s="29">
        <f>IFERROR(Environments!$B$3&amp;D10,D10)</f>
        <v/>
      </c>
      <c r="F10" s="29" t="inlineStr">
        <is>
          <t>Open resume detail</t>
        </is>
      </c>
      <c r="G10" s="29" t="inlineStr">
        <is>
          <t>Version history card</t>
        </is>
      </c>
      <c r="H10" s="29" t="inlineStr">
        <is>
          <t>Not Run</t>
        </is>
      </c>
    </row>
    <row r="11">
      <c r="A11" s="27" t="inlineStr">
        <is>
          <t>SMK-09</t>
        </is>
      </c>
      <c r="B11" s="27" t="inlineStr">
        <is>
          <t>Gov mock</t>
        </is>
      </c>
      <c r="C11" s="27" t="inlineStr">
        <is>
          <t>Free</t>
        </is>
      </c>
      <c r="D11" s="27" t="inlineStr">
        <is>
          <t>/app/mock-test</t>
        </is>
      </c>
      <c r="E11" s="27">
        <f>IFERROR(Environments!$B$3&amp;D11,D11)</f>
        <v/>
      </c>
      <c r="F11" s="27" t="inlineStr">
        <is>
          <t>Create SSC/JEE-style test</t>
        </is>
      </c>
      <c r="G11" s="27" t="inlineStr">
        <is>
          <t>Enough questions load</t>
        </is>
      </c>
      <c r="H11" s="27" t="inlineStr">
        <is>
          <t>Not Run</t>
        </is>
      </c>
    </row>
    <row r="12">
      <c r="A12" s="29" t="inlineStr">
        <is>
          <t>SMK-10</t>
        </is>
      </c>
      <c r="B12" s="29" t="inlineStr">
        <is>
          <t>Billing Stripe test</t>
        </is>
      </c>
      <c r="C12" s="29" t="inlineStr">
        <is>
          <t>Free</t>
        </is>
      </c>
      <c r="D12" s="29" t="inlineStr">
        <is>
          <t>/app/settings/billing</t>
        </is>
      </c>
      <c r="E12" s="29">
        <f>IFERROR(Environments!$B$3&amp;D12,D12)</f>
        <v/>
      </c>
      <c r="F12" s="29" t="inlineStr">
        <is>
          <t>Checkout with 4242…</t>
        </is>
      </c>
      <c r="G12" s="29" t="inlineStr">
        <is>
          <t>Webhook grants plan/credits</t>
        </is>
      </c>
      <c r="H12" s="29" t="inlineStr">
        <is>
          <t>Not Run</t>
        </is>
      </c>
    </row>
    <row r="13">
      <c r="A13" s="27" t="inlineStr">
        <is>
          <t>SMK-11</t>
        </is>
      </c>
      <c r="B13" s="27" t="inlineStr">
        <is>
          <t>Razorpay honesty</t>
        </is>
      </c>
      <c r="C13" s="27" t="inlineStr">
        <is>
          <t>Free</t>
        </is>
      </c>
      <c r="D13" s="27" t="inlineStr">
        <is>
          <t>/app/settings/billing</t>
        </is>
      </c>
      <c r="E13" s="27">
        <f>IFERROR(Environments!$B$3&amp;D13,D13)</f>
        <v/>
      </c>
      <c r="F13" s="27" t="inlineStr">
        <is>
          <t>Read INR copy + button labels</t>
        </is>
      </c>
      <c r="G13" s="27" t="inlineStr">
        <is>
          <t>One-time / no auto-renew disclosed</t>
        </is>
      </c>
      <c r="H13" s="27" t="inlineStr">
        <is>
          <t>Not Run</t>
        </is>
      </c>
    </row>
    <row r="14">
      <c r="A14" s="29" t="inlineStr">
        <is>
          <t>SMK-12</t>
        </is>
      </c>
      <c r="B14" s="29" t="inlineStr">
        <is>
          <t>Notification prefs</t>
        </is>
      </c>
      <c r="C14" s="29" t="inlineStr">
        <is>
          <t>Free</t>
        </is>
      </c>
      <c r="D14" s="29" t="inlineStr">
        <is>
          <t>/app/settings/notifications</t>
        </is>
      </c>
      <c r="E14" s="29">
        <f>IFERROR(Environments!$B$3&amp;D14,D14)</f>
        <v/>
      </c>
      <c r="F14" s="29" t="inlineStr">
        <is>
          <t>Read honesty + save prefs</t>
        </is>
      </c>
      <c r="G14" s="29" t="inlineStr">
        <is>
          <t>Save succeeds</t>
        </is>
      </c>
      <c r="H14" s="29" t="inlineStr">
        <is>
          <t>Not Run</t>
        </is>
      </c>
    </row>
    <row r="15">
      <c r="A15" s="27" t="inlineStr">
        <is>
          <t>SMK-13</t>
        </is>
      </c>
      <c r="B15" s="27" t="inlineStr">
        <is>
          <t>Privacy analytics</t>
        </is>
      </c>
      <c r="C15" s="27" t="inlineStr">
        <is>
          <t>Free</t>
        </is>
      </c>
      <c r="D15" s="27" t="inlineStr">
        <is>
          <t>/app/settings/privacy</t>
        </is>
      </c>
      <c r="E15" s="27">
        <f>IFERROR(Environments!$B$3&amp;D15,D15)</f>
        <v/>
      </c>
      <c r="F15" s="27" t="inlineStr">
        <is>
          <t>Turn analytics off + save</t>
        </is>
      </c>
      <c r="G15" s="27" t="inlineStr">
        <is>
          <t>Opt-out applied</t>
        </is>
      </c>
      <c r="H15" s="27" t="inlineStr">
        <is>
          <t>Not Run</t>
        </is>
      </c>
    </row>
    <row r="16">
      <c r="A16" s="29" t="inlineStr">
        <is>
          <t>SMK-14</t>
        </is>
      </c>
      <c r="B16" s="29" t="inlineStr">
        <is>
          <t>Admin model costs</t>
        </is>
      </c>
      <c r="C16" s="29" t="inlineStr">
        <is>
          <t>Admin</t>
        </is>
      </c>
      <c r="D16" s="29" t="inlineStr">
        <is>
          <t>/app/admin/model-costs</t>
        </is>
      </c>
      <c r="E16" s="29">
        <f>IFERROR(Environments!$B$3&amp;D16,D16)</f>
        <v/>
      </c>
      <c r="F16" s="29" t="inlineStr">
        <is>
          <t>Open page on narrow width</t>
        </is>
      </c>
      <c r="G16" s="29" t="inlineStr">
        <is>
          <t>Read-only; horizontal scroll works</t>
        </is>
      </c>
      <c r="H16" s="29" t="inlineStr">
        <is>
          <t>Not Run</t>
        </is>
      </c>
    </row>
    <row r="17">
      <c r="A17" s="27" t="inlineStr">
        <is>
          <t>SMK-15</t>
        </is>
      </c>
      <c r="B17" s="27" t="inlineStr">
        <is>
          <t>Admin support→chat</t>
        </is>
      </c>
      <c r="C17" s="27" t="inlineStr">
        <is>
          <t>Admin</t>
        </is>
      </c>
      <c r="D17" s="27" t="inlineStr">
        <is>
          <t>/app/admin/support</t>
        </is>
      </c>
      <c r="E17" s="27">
        <f>IFERROR(Environments!$B$3&amp;D17,D17)</f>
        <v/>
      </c>
      <c r="F17" s="27" t="inlineStr">
        <is>
          <t>Click Live Chat</t>
        </is>
      </c>
      <c r="G17" s="27" t="inlineStr">
        <is>
          <t>Live Chat opens</t>
        </is>
      </c>
      <c r="H17" s="27" t="inlineStr">
        <is>
          <t>Not Run</t>
        </is>
      </c>
    </row>
    <row r="18">
      <c r="A18" s="29" t="inlineStr">
        <is>
          <t>SMK-16</t>
        </is>
      </c>
      <c r="B18" s="29" t="inlineStr">
        <is>
          <t>Admin QA local</t>
        </is>
      </c>
      <c r="C18" s="29" t="inlineStr">
        <is>
          <t>Admin</t>
        </is>
      </c>
      <c r="D18" s="29" t="inlineStr">
        <is>
          <t>/app/admin/qa-checklist</t>
        </is>
      </c>
      <c r="E18" s="29">
        <f>IFERROR(Environments!$B$3&amp;D18,D18)</f>
        <v/>
      </c>
      <c r="F18" s="29" t="inlineStr">
        <is>
          <t>Read banner</t>
        </is>
      </c>
      <c r="G18" s="29" t="inlineStr">
        <is>
          <t>Says local browser only</t>
        </is>
      </c>
      <c r="H18" s="29" t="inlineStr">
        <is>
          <t>Not Run</t>
        </is>
      </c>
    </row>
    <row r="19">
      <c r="A19" s="27" t="inlineStr">
        <is>
          <t>SMK-17</t>
        </is>
      </c>
      <c r="B19" s="27" t="inlineStr">
        <is>
          <t>Calendar blocked honesty</t>
        </is>
      </c>
      <c r="C19" s="27" t="inlineStr">
        <is>
          <t>Pro</t>
        </is>
      </c>
      <c r="D19" s="27" t="inlineStr">
        <is>
          <t>/app/settings/integrations</t>
        </is>
      </c>
      <c r="E19" s="27">
        <f>IFERROR(Environments!$B$3&amp;D19,D19)</f>
        <v/>
      </c>
      <c r="F19" s="27" t="inlineStr">
        <is>
          <t>Try sync without secrets</t>
        </is>
      </c>
      <c r="G19" s="27" t="inlineStr">
        <is>
          <t>501/blocked — not silently ok</t>
        </is>
      </c>
      <c r="H19" s="27" t="inlineStr">
        <is>
          <t>Not Run</t>
        </is>
      </c>
    </row>
    <row r="20">
      <c r="A20" s="29" t="inlineStr">
        <is>
          <t>SMK-18</t>
        </is>
      </c>
      <c r="B20" s="29" t="inlineStr">
        <is>
          <t>Company research gate</t>
        </is>
      </c>
      <c r="C20" s="29" t="inlineStr">
        <is>
          <t>Free</t>
        </is>
      </c>
      <c r="D20" s="29" t="inlineStr">
        <is>
          <t>/app/companies</t>
        </is>
      </c>
      <c r="E20" s="29">
        <f>IFERROR(Environments!$B$3&amp;D20,D20)</f>
        <v/>
      </c>
      <c r="F20" s="29" t="inlineStr">
        <is>
          <t>Try generate</t>
        </is>
      </c>
      <c r="G20" s="29" t="inlineStr">
        <is>
          <t>Upgrade / plan gate</t>
        </is>
      </c>
      <c r="H20" s="29" t="inlineStr">
        <is>
          <t>Not Run</t>
        </is>
      </c>
    </row>
    <row r="21">
      <c r="A21" s="27" t="inlineStr">
        <is>
          <t>SMK-19</t>
        </is>
      </c>
      <c r="B21" s="27" t="inlineStr">
        <is>
          <t>MFA challenge</t>
        </is>
      </c>
      <c r="C21" s="27" t="inlineStr">
        <is>
          <t>Free+MFA</t>
        </is>
      </c>
      <c r="D21" s="27" t="inlineStr">
        <is>
          <t>/login</t>
        </is>
      </c>
      <c r="E21" s="27">
        <f>IFERROR(Environments!$B$3&amp;D21,D21)</f>
        <v/>
      </c>
      <c r="F21" s="27" t="inlineStr">
        <is>
          <t>Sign in with TOTP-enrolled user</t>
        </is>
      </c>
      <c r="G21" s="27" t="inlineStr">
        <is>
          <t>Code screen before app</t>
        </is>
      </c>
      <c r="H21" s="27" t="inlineStr">
        <is>
          <t>Not Run</t>
        </is>
      </c>
    </row>
    <row r="22">
      <c r="A22" s="29" t="inlineStr">
        <is>
          <t>SMK-20</t>
        </is>
      </c>
      <c r="B22" s="29" t="inlineStr">
        <is>
          <t>Electron boot</t>
        </is>
      </c>
      <c r="C22" s="29" t="inlineStr">
        <is>
          <t>Pro</t>
        </is>
      </c>
      <c r="D22" s="29" t="inlineStr">
        <is>
          <t>(desktop)</t>
        </is>
      </c>
      <c r="E22" s="29">
        <f>IFERROR(Environments!$B$3&amp;D22,D22)</f>
        <v/>
      </c>
      <c r="F22" s="29" t="inlineStr">
        <is>
          <t>Launch unsigned build</t>
        </is>
      </c>
      <c r="G22" s="29" t="inlineStr">
        <is>
          <t>App boots; SmartScreen may warn</t>
        </is>
      </c>
      <c r="H22" s="29" t="inlineStr">
        <is>
          <t>Not Run</t>
        </is>
      </c>
    </row>
  </sheetData>
  <autoFilter ref="A2:H22"/>
  <mergeCells count="1">
    <mergeCell ref="A1:H1"/>
  </mergeCells>
  <conditionalFormatting sqref="H3:H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1">
    <dataValidation sqref="H3:H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34" customWidth="1" min="10" max="10"/>
  </cols>
  <sheetData>
    <row r="1">
      <c r="A1" s="1" t="inlineStr">
        <is>
          <t>Daily Progress Log (feeds Dashboard chart)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Date</t>
        </is>
      </c>
      <c r="B2" s="26" t="inlineStr">
        <is>
          <t>QA Person</t>
        </is>
      </c>
      <c r="C2" s="26" t="inlineStr">
        <is>
          <t>Cases Executed</t>
        </is>
      </c>
      <c r="D2" s="26" t="inlineStr">
        <is>
          <t>Passed</t>
        </is>
      </c>
      <c r="E2" s="26" t="inlineStr">
        <is>
          <t>Failed</t>
        </is>
      </c>
      <c r="F2" s="26" t="inlineStr">
        <is>
          <t>Blocked</t>
        </is>
      </c>
      <c r="G2" s="26" t="inlineStr">
        <is>
          <t>Bugs Opened</t>
        </is>
      </c>
      <c r="H2" s="26" t="inlineStr">
        <is>
          <t>Bugs Closed</t>
        </is>
      </c>
      <c r="I2" s="26" t="inlineStr">
        <is>
          <t>Hours Logged</t>
        </is>
      </c>
      <c r="J2" s="26" t="inlineStr">
        <is>
          <t>Remarks</t>
        </is>
      </c>
    </row>
    <row r="3">
      <c r="A3" s="28" t="n">
        <v>46226</v>
      </c>
      <c r="B3" s="27" t="inlineStr">
        <is>
          <t>Shreya Patil</t>
        </is>
      </c>
      <c r="C3" s="27" t="n">
        <v>8</v>
      </c>
      <c r="D3" s="27" t="n">
        <v>6</v>
      </c>
      <c r="E3" s="27" t="n">
        <v>1</v>
      </c>
      <c r="F3" s="27" t="n">
        <v>0</v>
      </c>
      <c r="G3" s="27" t="n">
        <v>1</v>
      </c>
      <c r="H3" s="27" t="n">
        <v>0</v>
      </c>
      <c r="I3" s="27" t="n">
        <v>4.5</v>
      </c>
      <c r="J3" s="27" t="inlineStr">
        <is>
          <t>Sprint execution — production QA</t>
        </is>
      </c>
    </row>
    <row r="4">
      <c r="A4" s="30" t="n">
        <v>46227</v>
      </c>
      <c r="B4" s="29" t="inlineStr">
        <is>
          <t>Raj Balani</t>
        </is>
      </c>
      <c r="C4" s="29" t="n">
        <v>10</v>
      </c>
      <c r="D4" s="29" t="n">
        <v>7</v>
      </c>
      <c r="E4" s="29" t="n">
        <v>0</v>
      </c>
      <c r="F4" s="29" t="n">
        <v>0</v>
      </c>
      <c r="G4" s="29" t="n">
        <v>0</v>
      </c>
      <c r="H4" s="29" t="n">
        <v>0</v>
      </c>
      <c r="I4" s="29" t="n">
        <v>5</v>
      </c>
      <c r="J4" s="29" t="inlineStr">
        <is>
          <t>Sprint execution — production QA</t>
        </is>
      </c>
    </row>
    <row r="5">
      <c r="A5" s="28" t="n">
        <v>46228</v>
      </c>
      <c r="B5" s="27" t="inlineStr">
        <is>
          <t>Shreya Patil</t>
        </is>
      </c>
      <c r="C5" s="27" t="n">
        <v>12</v>
      </c>
      <c r="D5" s="27" t="n">
        <v>8</v>
      </c>
      <c r="E5" s="27" t="n">
        <v>0</v>
      </c>
      <c r="F5" s="27" t="n">
        <v>0</v>
      </c>
      <c r="G5" s="27" t="n">
        <v>1</v>
      </c>
      <c r="H5" s="27" t="n">
        <v>0</v>
      </c>
      <c r="I5" s="27" t="n">
        <v>5.5</v>
      </c>
      <c r="J5" s="27" t="inlineStr">
        <is>
          <t>Sprint execution — production QA</t>
        </is>
      </c>
    </row>
    <row r="6">
      <c r="A6" s="30" t="n">
        <v>46229</v>
      </c>
      <c r="B6" s="29" t="inlineStr">
        <is>
          <t>Raj Balani</t>
        </is>
      </c>
      <c r="C6" s="29" t="n">
        <v>14</v>
      </c>
      <c r="D6" s="29" t="n">
        <v>9</v>
      </c>
      <c r="E6" s="29" t="n">
        <v>1</v>
      </c>
      <c r="F6" s="29" t="n">
        <v>0</v>
      </c>
      <c r="G6" s="29" t="n">
        <v>0</v>
      </c>
      <c r="H6" s="29" t="n">
        <v>0</v>
      </c>
      <c r="I6" s="29" t="n">
        <v>6</v>
      </c>
      <c r="J6" s="29" t="inlineStr">
        <is>
          <t>Sprint execution — production QA</t>
        </is>
      </c>
    </row>
    <row r="7">
      <c r="A7" s="28" t="n">
        <v>46230</v>
      </c>
      <c r="B7" s="27" t="inlineStr">
        <is>
          <t>Shreya Patil</t>
        </is>
      </c>
      <c r="C7" s="27" t="n">
        <v>16</v>
      </c>
      <c r="D7" s="27" t="n">
        <v>10</v>
      </c>
      <c r="E7" s="27" t="n">
        <v>0</v>
      </c>
      <c r="F7" s="27" t="n">
        <v>1</v>
      </c>
      <c r="G7" s="27" t="n">
        <v>1</v>
      </c>
      <c r="H7" s="27" t="n">
        <v>1</v>
      </c>
      <c r="I7" s="27" t="n">
        <v>6.5</v>
      </c>
      <c r="J7" s="27" t="inlineStr">
        <is>
          <t>Sprint execution — production QA</t>
        </is>
      </c>
    </row>
    <row r="8">
      <c r="A8" s="30" t="n">
        <v>46231</v>
      </c>
      <c r="B8" s="29" t="inlineStr">
        <is>
          <t>Raj Balani</t>
        </is>
      </c>
      <c r="C8" s="29" t="n">
        <v>18</v>
      </c>
      <c r="D8" s="29" t="n">
        <v>11</v>
      </c>
      <c r="E8" s="29" t="n">
        <v>0</v>
      </c>
      <c r="F8" s="29" t="n">
        <v>0</v>
      </c>
      <c r="G8" s="29" t="n">
        <v>0</v>
      </c>
      <c r="H8" s="29" t="n">
        <v>1</v>
      </c>
      <c r="I8" s="29" t="n">
        <v>7</v>
      </c>
      <c r="J8" s="29" t="inlineStr">
        <is>
          <t>Sprint execution — production QA</t>
        </is>
      </c>
    </row>
    <row r="9">
      <c r="A9" s="28" t="n">
        <v>46232</v>
      </c>
      <c r="B9" s="27" t="inlineStr">
        <is>
          <t>Shreya Patil</t>
        </is>
      </c>
      <c r="C9" s="27" t="n">
        <v>20</v>
      </c>
      <c r="D9" s="27" t="n">
        <v>12</v>
      </c>
      <c r="E9" s="27" t="n">
        <v>1</v>
      </c>
      <c r="F9" s="27" t="n">
        <v>0</v>
      </c>
      <c r="G9" s="27" t="n">
        <v>1</v>
      </c>
      <c r="H9" s="27" t="n">
        <v>1</v>
      </c>
      <c r="I9" s="27" t="n">
        <v>7.5</v>
      </c>
      <c r="J9" s="27" t="inlineStr">
        <is>
          <t>Sprint execution — production QA</t>
        </is>
      </c>
    </row>
    <row r="10">
      <c r="A10" s="39" t="inlineStr">
        <is>
          <t>TOTAL</t>
        </is>
      </c>
      <c r="B10" s="29" t="n"/>
      <c r="C10" s="39">
        <f>SUM(C3:C9)</f>
        <v/>
      </c>
      <c r="D10" s="39">
        <f>SUM(D3:D9)</f>
        <v/>
      </c>
      <c r="E10" s="39">
        <f>SUM(E3:E9)</f>
        <v/>
      </c>
      <c r="F10" s="39">
        <f>SUM(F3:F9)</f>
        <v/>
      </c>
      <c r="G10" s="39">
        <f>SUM(G3:G9)</f>
        <v/>
      </c>
      <c r="H10" s="39">
        <f>SUM(H3:H9)</f>
        <v/>
      </c>
      <c r="I10" s="39">
        <f>SUM(I3:I9)</f>
        <v/>
      </c>
      <c r="J10" s="29" t="n"/>
    </row>
  </sheetData>
  <autoFilter ref="A2:J10"/>
  <mergeCells count="1">
    <mergeCell ref="A1:H1"/>
  </mergeCells>
  <dataValidations count="1">
    <dataValidation sqref="B3:B5000" showDropDown="0" showInputMessage="0" showErrorMessage="0" allowBlank="1" errorTitle="Invalid" error="Pick a value from the list" type="list">
      <formula1>Lists!$AC$2:$AC$3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L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14" customWidth="1" min="21" max="21"/>
    <col width="16" customWidth="1" min="22" max="22"/>
    <col width="14" customWidth="1" min="23" max="23"/>
    <col width="14" customWidth="1" min="24" max="24"/>
    <col width="20" customWidth="1" min="25" max="25"/>
    <col width="26" customWidth="1" min="26" max="26"/>
    <col width="18" customWidth="1" min="27" max="27"/>
    <col width="14" customWidth="1" min="28" max="28"/>
    <col width="14" customWidth="1" min="29" max="29"/>
    <col width="14" customWidth="1" min="30" max="30"/>
    <col width="19" customWidth="1" min="31" max="31"/>
    <col width="14" customWidth="1" min="32" max="32"/>
    <col width="14" customWidth="1" min="33" max="33"/>
    <col width="16" customWidth="1" min="34" max="34"/>
    <col width="14" customWidth="1" min="35" max="35"/>
    <col width="14" customWidth="1" min="36" max="36"/>
    <col width="26" customWidth="1" min="37" max="37"/>
    <col width="16" customWidth="1" min="38" max="38"/>
  </cols>
  <sheetData>
    <row r="1">
      <c r="A1" s="37" t="inlineStr">
        <is>
          <t>Status</t>
        </is>
      </c>
      <c r="B1" s="37" t="inlineStr">
        <is>
          <t>PassFail</t>
        </is>
      </c>
      <c r="C1" s="37" t="inlineStr">
        <is>
          <t>Priority</t>
        </is>
      </c>
      <c r="D1" s="37" t="inlineStr">
        <is>
          <t>Severity</t>
        </is>
      </c>
      <c r="E1" s="37" t="inlineStr">
        <is>
          <t>Environment</t>
        </is>
      </c>
      <c r="F1" s="37" t="inlineStr">
        <is>
          <t>Browser</t>
        </is>
      </c>
      <c r="G1" s="37" t="inlineStr">
        <is>
          <t>Device</t>
        </is>
      </c>
      <c r="H1" s="37" t="inlineStr">
        <is>
          <t>Platform</t>
        </is>
      </c>
      <c r="I1" s="37" t="inlineStr">
        <is>
          <t>YesNo</t>
        </is>
      </c>
      <c r="J1" s="37" t="inlineStr">
        <is>
          <t>QAStatus</t>
        </is>
      </c>
      <c r="K1" s="37" t="inlineStr">
        <is>
          <t>BugStatus</t>
        </is>
      </c>
      <c r="L1" s="37" t="inlineStr">
        <is>
          <t>Risk</t>
        </is>
      </c>
      <c r="M1" s="37" t="inlineStr">
        <is>
          <t>Criticality</t>
        </is>
      </c>
      <c r="N1" s="37" t="inlineStr">
        <is>
          <t>Automation</t>
        </is>
      </c>
      <c r="O1" s="37" t="inlineStr">
        <is>
          <t>SecurityResult</t>
        </is>
      </c>
      <c r="P1" s="37" t="inlineStr">
        <is>
          <t>ReadyStatus</t>
        </is>
      </c>
      <c r="Q1" s="37" t="inlineStr">
        <is>
          <t>Decision</t>
        </is>
      </c>
      <c r="R1" s="37" t="inlineStr">
        <is>
          <t>Approval</t>
        </is>
      </c>
      <c r="S1" s="37" t="inlineStr">
        <is>
          <t>PerfRating</t>
        </is>
      </c>
      <c r="T1" s="37" t="inlineStr">
        <is>
          <t>HttpMethod</t>
        </is>
      </c>
      <c r="U1" s="37" t="inlineStr">
        <is>
          <t>StatusCode</t>
        </is>
      </c>
      <c r="V1" s="37" t="inlineStr">
        <is>
          <t>AuthType</t>
        </is>
      </c>
      <c r="W1" s="37" t="inlineStr">
        <is>
          <t>Sprint</t>
        </is>
      </c>
      <c r="X1" s="37" t="inlineStr">
        <is>
          <t>Release</t>
        </is>
      </c>
      <c r="Y1" s="37" t="inlineStr">
        <is>
          <t>RootCause</t>
        </is>
      </c>
      <c r="Z1" s="37" t="inlineStr">
        <is>
          <t>Modules</t>
        </is>
      </c>
      <c r="AA1" s="37" t="inlineStr">
        <is>
          <t>Portals</t>
        </is>
      </c>
      <c r="AB1" s="37" t="inlineStr">
        <is>
          <t>Roles</t>
        </is>
      </c>
      <c r="AC1" s="37" t="inlineStr">
        <is>
          <t>Testers</t>
        </is>
      </c>
      <c r="AD1" s="37" t="inlineStr">
        <is>
          <t>Owners</t>
        </is>
      </c>
      <c r="AE1" s="37" t="inlineStr">
        <is>
          <t>ImplStatus</t>
        </is>
      </c>
      <c r="AF1" s="37" t="inlineStr">
        <is>
          <t>Coverage</t>
        </is>
      </c>
      <c r="AG1" s="37" t="inlineStr">
        <is>
          <t>ModuleStatus</t>
        </is>
      </c>
      <c r="AH1" s="37" t="inlineStr">
        <is>
          <t>Developers</t>
        </is>
      </c>
      <c r="AI1" s="37" t="inlineStr">
        <is>
          <t>TaskType</t>
        </is>
      </c>
      <c r="AJ1" s="37" t="inlineStr">
        <is>
          <t>TaskStatus</t>
        </is>
      </c>
      <c r="AK1" s="37" t="inlineStr">
        <is>
          <t>DevTaskStatus</t>
        </is>
      </c>
      <c r="AL1" s="37" t="inlineStr">
        <is>
          <t>Assignees</t>
        </is>
      </c>
    </row>
    <row r="2">
      <c r="A2" t="inlineStr">
        <is>
          <t>Not Started</t>
        </is>
      </c>
      <c r="B2" t="inlineStr">
        <is>
          <t>Pass</t>
        </is>
      </c>
      <c r="C2" t="inlineStr">
        <is>
          <t>Critical</t>
        </is>
      </c>
      <c r="D2" t="inlineStr">
        <is>
          <t>Critical</t>
        </is>
      </c>
      <c r="E2" t="inlineStr">
        <is>
          <t>Local</t>
        </is>
      </c>
      <c r="F2" t="inlineStr">
        <is>
          <t>Chrome</t>
        </is>
      </c>
      <c r="G2" t="inlineStr">
        <is>
          <t>Desktop</t>
        </is>
      </c>
      <c r="H2" t="inlineStr">
        <is>
          <t>Web</t>
        </is>
      </c>
      <c r="I2" t="inlineStr">
        <is>
          <t>Yes</t>
        </is>
      </c>
      <c r="J2" t="inlineStr">
        <is>
          <t>Not Tested</t>
        </is>
      </c>
      <c r="K2" t="inlineStr">
        <is>
          <t>New</t>
        </is>
      </c>
      <c r="L2" t="inlineStr">
        <is>
          <t>Critical</t>
        </is>
      </c>
      <c r="M2" t="inlineStr">
        <is>
          <t>Critical</t>
        </is>
      </c>
      <c r="N2" t="inlineStr">
        <is>
          <t>Manual</t>
        </is>
      </c>
      <c r="O2" t="inlineStr">
        <is>
          <t>Pass</t>
        </is>
      </c>
      <c r="P2" t="inlineStr">
        <is>
          <t>Ready</t>
        </is>
      </c>
      <c r="Q2" t="inlineStr">
        <is>
          <t>Go</t>
        </is>
      </c>
      <c r="R2" t="inlineStr">
        <is>
          <t>Approved</t>
        </is>
      </c>
      <c r="S2" t="inlineStr">
        <is>
          <t>Excellent</t>
        </is>
      </c>
      <c r="T2" t="inlineStr">
        <is>
          <t>GET</t>
        </is>
      </c>
      <c r="U2" t="inlineStr">
        <is>
          <t>200</t>
        </is>
      </c>
      <c r="V2" t="inlineStr">
        <is>
          <t>None</t>
        </is>
      </c>
      <c r="W2" t="inlineStr">
        <is>
          <t>Sprint 24</t>
        </is>
      </c>
      <c r="X2" t="inlineStr">
        <is>
          <t>1.0.0-beta</t>
        </is>
      </c>
      <c r="Y2" t="inlineStr">
        <is>
          <t>Logic Bug</t>
        </is>
      </c>
      <c r="Z2" t="inlineStr">
        <is>
          <t>Auth &amp; Onboarding</t>
        </is>
      </c>
      <c r="AA2" t="inlineStr">
        <is>
          <t>Marketing Portal</t>
        </is>
      </c>
      <c r="AB2" t="inlineStr">
        <is>
          <t>Guest</t>
        </is>
      </c>
      <c r="AC2" t="inlineStr">
        <is>
          <t>Shreya Patil</t>
        </is>
      </c>
      <c r="AD2" t="inlineStr">
        <is>
          <t>Auth Lead</t>
        </is>
      </c>
      <c r="AE2" t="inlineStr">
        <is>
          <t>Fully Implemented</t>
        </is>
      </c>
      <c r="AF2" t="inlineStr">
        <is>
          <t>Yes</t>
        </is>
      </c>
      <c r="AG2" t="inlineStr">
        <is>
          <t>Not Started</t>
        </is>
      </c>
      <c r="AH2" t="inlineStr">
        <is>
          <t>Dev Lead</t>
        </is>
      </c>
      <c r="AI2" t="inlineStr">
        <is>
          <t>Smoke</t>
        </is>
      </c>
      <c r="AJ2" t="inlineStr">
        <is>
          <t>Not Started</t>
        </is>
      </c>
      <c r="AK2" t="inlineStr">
        <is>
          <t>Queued</t>
        </is>
      </c>
      <c r="AL2" t="inlineStr">
        <is>
          <t>Dev Lead</t>
        </is>
      </c>
    </row>
    <row r="3">
      <c r="A3" t="inlineStr">
        <is>
          <t>In Progress</t>
        </is>
      </c>
      <c r="B3" t="inlineStr">
        <is>
          <t>Fail</t>
        </is>
      </c>
      <c r="C3" t="inlineStr">
        <is>
          <t>High</t>
        </is>
      </c>
      <c r="D3" t="inlineStr">
        <is>
          <t>High</t>
        </is>
      </c>
      <c r="E3" t="inlineStr">
        <is>
          <t>Staging</t>
        </is>
      </c>
      <c r="F3" t="inlineStr">
        <is>
          <t>Edge</t>
        </is>
      </c>
      <c r="G3" t="inlineStr">
        <is>
          <t>Laptop</t>
        </is>
      </c>
      <c r="H3" t="inlineStr">
        <is>
          <t>Windows</t>
        </is>
      </c>
      <c r="I3" t="inlineStr">
        <is>
          <t>No</t>
        </is>
      </c>
      <c r="J3" t="inlineStr">
        <is>
          <t>In Testing</t>
        </is>
      </c>
      <c r="K3" t="inlineStr">
        <is>
          <t>Open</t>
        </is>
      </c>
      <c r="L3" t="inlineStr">
        <is>
          <t>High</t>
        </is>
      </c>
      <c r="M3" t="inlineStr">
        <is>
          <t>High</t>
        </is>
      </c>
      <c r="N3" t="inlineStr">
        <is>
          <t>Automated</t>
        </is>
      </c>
      <c r="O3" t="inlineStr">
        <is>
          <t>Fail</t>
        </is>
      </c>
      <c r="P3" t="inlineStr">
        <is>
          <t>Not Ready</t>
        </is>
      </c>
      <c r="Q3" t="inlineStr">
        <is>
          <t>No-Go</t>
        </is>
      </c>
      <c r="R3" t="inlineStr">
        <is>
          <t>Pending</t>
        </is>
      </c>
      <c r="S3" t="inlineStr">
        <is>
          <t>Good</t>
        </is>
      </c>
      <c r="T3" t="inlineStr">
        <is>
          <t>POST</t>
        </is>
      </c>
      <c r="U3" t="inlineStr">
        <is>
          <t>201</t>
        </is>
      </c>
      <c r="V3" t="inlineStr">
        <is>
          <t>Bearer JWT</t>
        </is>
      </c>
      <c r="W3" t="inlineStr">
        <is>
          <t>Sprint 25</t>
        </is>
      </c>
      <c r="X3" t="inlineStr">
        <is>
          <t>1.0.0</t>
        </is>
      </c>
      <c r="Y3" t="inlineStr">
        <is>
          <t>Missing Validation</t>
        </is>
      </c>
      <c r="Z3" t="inlineStr">
        <is>
          <t>Dashboard</t>
        </is>
      </c>
      <c r="AA3" t="inlineStr">
        <is>
          <t>Auth Portal</t>
        </is>
      </c>
      <c r="AB3" t="inlineStr">
        <is>
          <t>Free User</t>
        </is>
      </c>
      <c r="AC3" t="inlineStr">
        <is>
          <t>Raj Balani</t>
        </is>
      </c>
      <c r="AD3" t="inlineStr">
        <is>
          <t>Product</t>
        </is>
      </c>
      <c r="AE3" t="inlineStr">
        <is>
          <t>Partial</t>
        </is>
      </c>
      <c r="AF3" t="inlineStr">
        <is>
          <t>No</t>
        </is>
      </c>
      <c r="AG3" t="inlineStr">
        <is>
          <t>In Progress</t>
        </is>
      </c>
      <c r="AH3" t="inlineStr">
        <is>
          <t>Live Coach Dev</t>
        </is>
      </c>
      <c r="AI3" t="inlineStr">
        <is>
          <t>Functional</t>
        </is>
      </c>
      <c r="AJ3" t="inlineStr">
        <is>
          <t>In Progress</t>
        </is>
      </c>
      <c r="AK3" t="inlineStr">
        <is>
          <t>In Progress</t>
        </is>
      </c>
      <c r="AL3" t="inlineStr">
        <is>
          <t>Live Coach Dev</t>
        </is>
      </c>
    </row>
    <row r="4">
      <c r="A4" t="inlineStr">
        <is>
          <t>Completed</t>
        </is>
      </c>
      <c r="B4" t="inlineStr">
        <is>
          <t>Blocked</t>
        </is>
      </c>
      <c r="C4" t="inlineStr">
        <is>
          <t>Medium</t>
        </is>
      </c>
      <c r="D4" t="inlineStr">
        <is>
          <t>Medium</t>
        </is>
      </c>
      <c r="E4" t="inlineStr">
        <is>
          <t>Production</t>
        </is>
      </c>
      <c r="F4" t="inlineStr">
        <is>
          <t>Firefox</t>
        </is>
      </c>
      <c r="G4" t="inlineStr">
        <is>
          <t>iPhone</t>
        </is>
      </c>
      <c r="H4" t="inlineStr">
        <is>
          <t>macOS</t>
        </is>
      </c>
      <c r="I4" t="inlineStr">
        <is>
          <t>Partial</t>
        </is>
      </c>
      <c r="J4" t="inlineStr">
        <is>
          <t>Passed</t>
        </is>
      </c>
      <c r="K4" t="inlineStr">
        <is>
          <t>In Progress</t>
        </is>
      </c>
      <c r="L4" t="inlineStr">
        <is>
          <t>Medium</t>
        </is>
      </c>
      <c r="M4" t="inlineStr">
        <is>
          <t>Medium</t>
        </is>
      </c>
      <c r="N4" t="inlineStr">
        <is>
          <t>Candidate</t>
        </is>
      </c>
      <c r="O4" t="inlineStr">
        <is>
          <t>Partial</t>
        </is>
      </c>
      <c r="P4" t="inlineStr">
        <is>
          <t>Conditional</t>
        </is>
      </c>
      <c r="Q4" t="inlineStr">
        <is>
          <t>Conditional Go</t>
        </is>
      </c>
      <c r="R4" t="inlineStr">
        <is>
          <t>Rejected</t>
        </is>
      </c>
      <c r="S4" t="inlineStr">
        <is>
          <t>Acceptable</t>
        </is>
      </c>
      <c r="T4" t="inlineStr">
        <is>
          <t>PUT</t>
        </is>
      </c>
      <c r="U4" t="inlineStr">
        <is>
          <t>204</t>
        </is>
      </c>
      <c r="V4" t="inlineStr">
        <is>
          <t>Anon Key</t>
        </is>
      </c>
      <c r="W4" t="inlineStr">
        <is>
          <t>Sprint 26</t>
        </is>
      </c>
      <c r="X4" t="inlineStr">
        <is>
          <t>1.0.1</t>
        </is>
      </c>
      <c r="Y4" t="inlineStr">
        <is>
          <t>Config/Env</t>
        </is>
      </c>
      <c r="Z4" t="inlineStr">
        <is>
          <t>Live Practice Coach</t>
        </is>
      </c>
      <c r="AA4" t="inlineStr">
        <is>
          <t>Candidate App</t>
        </is>
      </c>
      <c r="AB4" t="inlineStr">
        <is>
          <t>Pro User</t>
        </is>
      </c>
      <c r="AD4" t="inlineStr">
        <is>
          <t>Live Coach</t>
        </is>
      </c>
      <c r="AE4" t="inlineStr">
        <is>
          <t>Stub</t>
        </is>
      </c>
      <c r="AF4" t="inlineStr">
        <is>
          <t>Partial</t>
        </is>
      </c>
      <c r="AG4" t="inlineStr">
        <is>
          <t>Completed</t>
        </is>
      </c>
      <c r="AH4" t="inlineStr">
        <is>
          <t>Platform Dev</t>
        </is>
      </c>
      <c r="AI4" t="inlineStr">
        <is>
          <t>Regression</t>
        </is>
      </c>
      <c r="AJ4" t="inlineStr">
        <is>
          <t>Blocked</t>
        </is>
      </c>
      <c r="AK4" t="inlineStr">
        <is>
          <t>Code Review</t>
        </is>
      </c>
      <c r="AL4" t="inlineStr">
        <is>
          <t>Platform Dev</t>
        </is>
      </c>
    </row>
    <row r="5">
      <c r="A5" t="inlineStr">
        <is>
          <t>Blocked</t>
        </is>
      </c>
      <c r="B5" t="inlineStr">
        <is>
          <t>Not Run</t>
        </is>
      </c>
      <c r="C5" t="inlineStr">
        <is>
          <t>Low</t>
        </is>
      </c>
      <c r="D5" t="inlineStr">
        <is>
          <t>Low</t>
        </is>
      </c>
      <c r="E5" t="inlineStr">
        <is>
          <t>CI</t>
        </is>
      </c>
      <c r="F5" t="inlineStr">
        <is>
          <t>Safari</t>
        </is>
      </c>
      <c r="G5" t="inlineStr">
        <is>
          <t>Android Phone</t>
        </is>
      </c>
      <c r="H5" t="inlineStr">
        <is>
          <t>Linux</t>
        </is>
      </c>
      <c r="I5" t="inlineStr">
        <is>
          <t>N/A</t>
        </is>
      </c>
      <c r="J5" t="inlineStr">
        <is>
          <t>Failed</t>
        </is>
      </c>
      <c r="K5" t="inlineStr">
        <is>
          <t>Fixed</t>
        </is>
      </c>
      <c r="L5" t="inlineStr">
        <is>
          <t>Low</t>
        </is>
      </c>
      <c r="M5" t="inlineStr">
        <is>
          <t>Low</t>
        </is>
      </c>
      <c r="N5" t="inlineStr">
        <is>
          <t>Partial</t>
        </is>
      </c>
      <c r="O5" t="inlineStr">
        <is>
          <t>Not Tested</t>
        </is>
      </c>
      <c r="P5" t="inlineStr">
        <is>
          <t>Blocked</t>
        </is>
      </c>
      <c r="R5" t="inlineStr">
        <is>
          <t>Deferred</t>
        </is>
      </c>
      <c r="S5" t="inlineStr">
        <is>
          <t>Poor</t>
        </is>
      </c>
      <c r="T5" t="inlineStr">
        <is>
          <t>PATCH</t>
        </is>
      </c>
      <c r="U5" t="inlineStr">
        <is>
          <t>400</t>
        </is>
      </c>
      <c r="V5" t="inlineStr">
        <is>
          <t>Service Role</t>
        </is>
      </c>
      <c r="W5" t="inlineStr">
        <is>
          <t>Sprint 27</t>
        </is>
      </c>
      <c r="X5" t="inlineStr">
        <is>
          <t>1.1.0</t>
        </is>
      </c>
      <c r="Y5" t="inlineStr">
        <is>
          <t>Race Condition</t>
        </is>
      </c>
      <c r="Z5" t="inlineStr">
        <is>
          <t>Mock Interview</t>
        </is>
      </c>
      <c r="AA5" t="inlineStr">
        <is>
          <t>Admin Portal</t>
        </is>
      </c>
      <c r="AB5" t="inlineStr">
        <is>
          <t>Max User</t>
        </is>
      </c>
      <c r="AD5" t="inlineStr">
        <is>
          <t>Sessions</t>
        </is>
      </c>
      <c r="AE5" t="inlineStr">
        <is>
          <t>Dead Code</t>
        </is>
      </c>
      <c r="AF5" t="inlineStr">
        <is>
          <t>N/A</t>
        </is>
      </c>
      <c r="AG5" t="inlineStr">
        <is>
          <t>Blocked</t>
        </is>
      </c>
      <c r="AH5" t="inlineStr">
        <is>
          <t>GovExams Dev</t>
        </is>
      </c>
      <c r="AI5" t="inlineStr">
        <is>
          <t>E2E</t>
        </is>
      </c>
      <c r="AJ5" t="inlineStr">
        <is>
          <t>Done</t>
        </is>
      </c>
      <c r="AK5" t="inlineStr">
        <is>
          <t>Fixed — Ready for Retest</t>
        </is>
      </c>
      <c r="AL5" t="inlineStr">
        <is>
          <t>GovExams Dev</t>
        </is>
      </c>
    </row>
    <row r="6">
      <c r="A6" t="inlineStr">
        <is>
          <t>Deferred</t>
        </is>
      </c>
      <c r="B6" t="inlineStr">
        <is>
          <t>N/A</t>
        </is>
      </c>
      <c r="E6" t="inlineStr">
        <is>
          <t>Electron Dev</t>
        </is>
      </c>
      <c r="F6" t="inlineStr">
        <is>
          <t>Electron</t>
        </is>
      </c>
      <c r="G6" t="inlineStr">
        <is>
          <t>iPad</t>
        </is>
      </c>
      <c r="H6" t="inlineStr">
        <is>
          <t>iOS</t>
        </is>
      </c>
      <c r="J6" t="inlineStr">
        <is>
          <t>Blocked</t>
        </is>
      </c>
      <c r="K6" t="inlineStr">
        <is>
          <t>Retest</t>
        </is>
      </c>
      <c r="O6" t="inlineStr">
        <is>
          <t>N/A</t>
        </is>
      </c>
      <c r="S6" t="inlineStr">
        <is>
          <t>Critical</t>
        </is>
      </c>
      <c r="T6" t="inlineStr">
        <is>
          <t>DELETE</t>
        </is>
      </c>
      <c r="U6" t="inlineStr">
        <is>
          <t>401</t>
        </is>
      </c>
      <c r="V6" t="inlineStr">
        <is>
          <t>Webhook HMAC</t>
        </is>
      </c>
      <c r="W6" t="inlineStr">
        <is>
          <t>Hotfix</t>
        </is>
      </c>
      <c r="Y6" t="inlineStr">
        <is>
          <t>UI Regression</t>
        </is>
      </c>
      <c r="Z6" t="inlineStr">
        <is>
          <t>Sessions &amp; Debriefs</t>
        </is>
      </c>
      <c r="AA6" t="inlineStr">
        <is>
          <t>Electron Overlay</t>
        </is>
      </c>
      <c r="AB6" t="inlineStr">
        <is>
          <t>Admin</t>
        </is>
      </c>
      <c r="AD6" t="inlineStr">
        <is>
          <t>Analytics</t>
        </is>
      </c>
      <c r="AE6" t="inlineStr">
        <is>
          <t>Not Built</t>
        </is>
      </c>
      <c r="AG6" t="inlineStr">
        <is>
          <t>Deprecated</t>
        </is>
      </c>
      <c r="AH6" t="inlineStr">
        <is>
          <t>Desktop Dev</t>
        </is>
      </c>
      <c r="AI6" t="inlineStr">
        <is>
          <t>UI/UX</t>
        </is>
      </c>
      <c r="AJ6" t="inlineStr">
        <is>
          <t>Deferred</t>
        </is>
      </c>
      <c r="AK6" t="inlineStr">
        <is>
          <t>Reopened</t>
        </is>
      </c>
      <c r="AL6" t="inlineStr">
        <is>
          <t>Desktop Dev</t>
        </is>
      </c>
    </row>
    <row r="7">
      <c r="A7" t="inlineStr">
        <is>
          <t>Ready</t>
        </is>
      </c>
      <c r="B7" t="inlineStr">
        <is>
          <t>In Progress</t>
        </is>
      </c>
      <c r="E7" t="inlineStr">
        <is>
          <t>Electron Packaged</t>
        </is>
      </c>
      <c r="F7" t="inlineStr">
        <is>
          <t>N/A</t>
        </is>
      </c>
      <c r="G7" t="inlineStr">
        <is>
          <t>Android Tablet</t>
        </is>
      </c>
      <c r="H7" t="inlineStr">
        <is>
          <t>Android</t>
        </is>
      </c>
      <c r="J7" t="inlineStr">
        <is>
          <t>Deferred</t>
        </is>
      </c>
      <c r="K7" t="inlineStr">
        <is>
          <t>Closed</t>
        </is>
      </c>
      <c r="T7" t="inlineStr">
        <is>
          <t>OPTIONS</t>
        </is>
      </c>
      <c r="U7" t="inlineStr">
        <is>
          <t>402</t>
        </is>
      </c>
      <c r="V7" t="inlineStr">
        <is>
          <t>API Key Header</t>
        </is>
      </c>
      <c r="Y7" t="inlineStr">
        <is>
          <t>API Contract</t>
        </is>
      </c>
      <c r="Z7" t="inlineStr">
        <is>
          <t>Analytics &amp; Usage</t>
        </is>
      </c>
      <c r="AA7" t="inlineStr">
        <is>
          <t>All Portals</t>
        </is>
      </c>
      <c r="AD7" t="inlineStr">
        <is>
          <t>Prep</t>
        </is>
      </c>
      <c r="AI7" t="inlineStr">
        <is>
          <t>API</t>
        </is>
      </c>
      <c r="AK7" t="inlineStr">
        <is>
          <t>Done</t>
        </is>
      </c>
      <c r="AL7" t="inlineStr">
        <is>
          <t>Auth Lead</t>
        </is>
      </c>
    </row>
    <row r="8">
      <c r="A8" t="inlineStr">
        <is>
          <t>Complete</t>
        </is>
      </c>
      <c r="K8" t="inlineStr">
        <is>
          <t>Won't Fix</t>
        </is>
      </c>
      <c r="U8" t="inlineStr">
        <is>
          <t>403</t>
        </is>
      </c>
      <c r="Y8" t="inlineStr">
        <is>
          <t>DB/RLS</t>
        </is>
      </c>
      <c r="Z8" t="inlineStr">
        <is>
          <t>Prep Lab</t>
        </is>
      </c>
      <c r="AD8" t="inlineStr">
        <is>
          <t>Docs</t>
        </is>
      </c>
      <c r="AI8" t="inlineStr">
        <is>
          <t>Security</t>
        </is>
      </c>
      <c r="AK8" t="inlineStr">
        <is>
          <t>Won't Fix</t>
        </is>
      </c>
      <c r="AL8" t="inlineStr">
        <is>
          <t>Product</t>
        </is>
      </c>
    </row>
    <row r="9">
      <c r="A9" t="inlineStr">
        <is>
          <t>Active</t>
        </is>
      </c>
      <c r="K9" t="inlineStr">
        <is>
          <t>Duplicate</t>
        </is>
      </c>
      <c r="U9" t="inlineStr">
        <is>
          <t>404</t>
        </is>
      </c>
      <c r="Y9" t="inlineStr">
        <is>
          <t>Third-party</t>
        </is>
      </c>
      <c r="Z9" t="inlineStr">
        <is>
          <t>Documents &amp; Resumes</t>
        </is>
      </c>
      <c r="AD9" t="inlineStr">
        <is>
          <t>Scheduling</t>
        </is>
      </c>
      <c r="AI9" t="inlineStr">
        <is>
          <t>Retest</t>
        </is>
      </c>
      <c r="AL9" t="inlineStr">
        <is>
          <t>Live Coach</t>
        </is>
      </c>
    </row>
    <row r="10">
      <c r="U10" t="inlineStr">
        <is>
          <t>409</t>
        </is>
      </c>
      <c r="Y10" t="inlineStr">
        <is>
          <t>Design Gap</t>
        </is>
      </c>
      <c r="Z10" t="inlineStr">
        <is>
          <t>Answer Bank</t>
        </is>
      </c>
      <c r="AD10" t="inlineStr">
        <is>
          <t>Growth</t>
        </is>
      </c>
      <c r="AI10" t="inlineStr">
        <is>
          <t>Exploratory</t>
        </is>
      </c>
      <c r="AL10" t="inlineStr">
        <is>
          <t>Sessions</t>
        </is>
      </c>
    </row>
    <row r="11">
      <c r="U11" t="inlineStr">
        <is>
          <t>429</t>
        </is>
      </c>
      <c r="Y11" t="inlineStr">
        <is>
          <t>Unknown</t>
        </is>
      </c>
      <c r="Z11" t="inlineStr">
        <is>
          <t>Interviews &amp; Calendar</t>
        </is>
      </c>
      <c r="AD11" t="inlineStr">
        <is>
          <t>GovExams</t>
        </is>
      </c>
      <c r="AL11" t="inlineStr">
        <is>
          <t>Analytics</t>
        </is>
      </c>
    </row>
    <row r="12">
      <c r="U12" t="inlineStr">
        <is>
          <t>500</t>
        </is>
      </c>
      <c r="Z12" t="inlineStr">
        <is>
          <t>Company Research</t>
        </is>
      </c>
      <c r="AD12" t="inlineStr">
        <is>
          <t>Platform</t>
        </is>
      </c>
      <c r="AL12" t="inlineStr">
        <is>
          <t>Prep</t>
        </is>
      </c>
    </row>
    <row r="13">
      <c r="U13" t="inlineStr">
        <is>
          <t>501</t>
        </is>
      </c>
      <c r="Z13" t="inlineStr">
        <is>
          <t>Notifications &amp; Profile</t>
        </is>
      </c>
      <c r="AD13" t="inlineStr">
        <is>
          <t>Admin</t>
        </is>
      </c>
      <c r="AL13" t="inlineStr">
        <is>
          <t>Docs</t>
        </is>
      </c>
    </row>
    <row r="14">
      <c r="Z14" t="inlineStr">
        <is>
          <t>Referrals &amp; Guide</t>
        </is>
      </c>
      <c r="AD14" t="inlineStr">
        <is>
          <t>Billing</t>
        </is>
      </c>
      <c r="AL14" t="inlineStr">
        <is>
          <t>Scheduling</t>
        </is>
      </c>
    </row>
    <row r="15">
      <c r="Z15" t="inlineStr">
        <is>
          <t>Gov Exam Mock Tests</t>
        </is>
      </c>
      <c r="AD15" t="inlineStr">
        <is>
          <t>Desktop</t>
        </is>
      </c>
      <c r="AL15" t="inlineStr">
        <is>
          <t>Growth</t>
        </is>
      </c>
    </row>
    <row r="16">
      <c r="Z16" t="inlineStr">
        <is>
          <t>Settings</t>
        </is>
      </c>
      <c r="AD16" t="inlineStr">
        <is>
          <t>QA Lead</t>
        </is>
      </c>
      <c r="AL16" t="inlineStr">
        <is>
          <t>GovExams</t>
        </is>
      </c>
    </row>
    <row r="17">
      <c r="Z17" t="inlineStr">
        <is>
          <t>Admin Portal</t>
        </is>
      </c>
      <c r="AD17" t="inlineStr">
        <is>
          <t>Dev Lead</t>
        </is>
      </c>
      <c r="AL17" t="inlineStr">
        <is>
          <t>Platform</t>
        </is>
      </c>
    </row>
    <row r="18">
      <c r="Z18" t="inlineStr">
        <is>
          <t>Marketing Site</t>
        </is>
      </c>
      <c r="AL18" t="inlineStr">
        <is>
          <t>Admin</t>
        </is>
      </c>
    </row>
    <row r="19">
      <c r="Z19" t="inlineStr">
        <is>
          <t>Billing &amp; Credits</t>
        </is>
      </c>
      <c r="AL19" t="inlineStr">
        <is>
          <t>Billing</t>
        </is>
      </c>
    </row>
    <row r="20">
      <c r="Z20" t="inlineStr">
        <is>
          <t>Electron Desktop Overlay</t>
        </is>
      </c>
      <c r="AL20" t="inlineStr">
        <is>
          <t>Desktop</t>
        </is>
      </c>
    </row>
    <row r="21">
      <c r="Z21" t="inlineStr">
        <is>
          <t>Security &amp; Platform</t>
        </is>
      </c>
      <c r="AL21" t="inlineStr">
        <is>
          <t>QA Lead</t>
        </is>
      </c>
    </row>
    <row r="22">
      <c r="Z22" t="inlineStr">
        <is>
          <t>Cross-Cutting</t>
        </is>
      </c>
      <c r="AL22" t="inlineStr">
        <is>
          <t>Dev Lead</t>
        </is>
      </c>
    </row>
    <row r="23">
      <c r="Z23" t="inlineStr">
        <is>
          <t>All Portals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2026-07-31T19:24:59Z</dcterms:created>
  <dcterms:modified xmlns:dcterms="http://purl.org/dc/terms/" xmlns:xsi="http://www.w3.org/2001/XMLSchema-instance" xsi:type="dcterms:W3CDTF">2026-07-31T19:25:03Z</dcterms:modified>
</cp:coreProperties>
</file>